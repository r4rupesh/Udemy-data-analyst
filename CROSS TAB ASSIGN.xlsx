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27. PVT chart n slice/"/>
    </mc:Choice>
  </mc:AlternateContent>
  <xr:revisionPtr revIDLastSave="0" documentId="13_ncr:1_{4769DDCD-20CD-6646-9B3D-636BED5E6875}" xr6:coauthVersionLast="47" xr6:coauthVersionMax="47" xr10:uidLastSave="{00000000-0000-0000-0000-000000000000}"/>
  <bookViews>
    <workbookView xWindow="780" yWindow="1000" windowWidth="27640" windowHeight="15920" activeTab="1" xr2:uid="{03E43F0D-F947-F64B-9D7E-764189E7D68D}"/>
  </bookViews>
  <sheets>
    <sheet name="Data" sheetId="1" r:id="rId1"/>
    <sheet name="PVT Analysis 1" sheetId="2" r:id="rId2"/>
    <sheet name="PVT Analysis 2" sheetId="3" r:id="rId3"/>
    <sheet name="PVT Analysis 3" sheetId="5" r:id="rId4"/>
  </sheets>
  <calcPr calcId="181029"/>
  <pivotCaches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<sst xmlns="http://schemas.openxmlformats.org/spreadsheetml/2006/main" count="784" uniqueCount="64">
  <si>
    <t>Product_Category</t>
  </si>
  <si>
    <t>Customer_Segment</t>
  </si>
  <si>
    <t>Payment_Method</t>
  </si>
  <si>
    <t>Region</t>
  </si>
  <si>
    <t>Sales_Channel</t>
  </si>
  <si>
    <t>Order_Status</t>
  </si>
  <si>
    <t>Quantity_Sold</t>
  </si>
  <si>
    <t>Discount_Rate</t>
  </si>
  <si>
    <t>Profit_Margin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</si>
  <si>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</si>
  <si>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</si>
  <si>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</si>
  <si>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</si>
  <si>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</si>
  <si>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</si>
  <si>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</si>
  <si>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</si>
  <si>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</si>
  <si>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</si>
  <si>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</si>
  <si>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</si>
  <si>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</si>
  <si>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</si>
  <si>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</si>
  <si>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</si>
  <si>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</si>
  <si>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</si>
  <si>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</si>
  <si>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</si>
  <si>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</si>
  <si>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</si>
  <si>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</si>
  <si>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</si>
  <si>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</si>
  <si>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</si>
  <si>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</si>
  <si>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</si>
  <si>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</si>
  <si>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</si>
  <si>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</si>
  <si>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</si>
  <si>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</si>
  <si>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</si>
  <si>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</si>
  <si>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</si>
  <si>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</si>
  <si>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Sale_Amount</t>
  </si>
  <si>
    <t>Row Labels</t>
  </si>
  <si>
    <t>Grand Total</t>
  </si>
  <si>
    <t>Sum of Quantity_Sold</t>
  </si>
  <si>
    <t>Average of Sale_Amount</t>
  </si>
  <si>
    <t>Average of Quantity_Sold</t>
  </si>
  <si>
    <t>Average of Discount_Rate</t>
  </si>
  <si>
    <t>Average of Profit_Margin</t>
  </si>
  <si>
    <t>Column Labels</t>
  </si>
  <si>
    <t>Values</t>
  </si>
  <si>
    <t>Find the average sale, and quantity sold by city for each customer segment</t>
  </si>
  <si>
    <t>Find the average discount rate, and profit margin for each customer segment</t>
  </si>
  <si>
    <t>Find the total number of transactions made and quantity sold via each payment method</t>
  </si>
  <si>
    <t>Count of Payment_Method</t>
  </si>
  <si>
    <t>Your Job</t>
  </si>
  <si>
    <t>Insert an appropriate Pivot Chart and a Slicer of Region.</t>
  </si>
  <si>
    <t>Insert an appropriate Pivot Chart and a Slicer of Customer Segment.</t>
  </si>
  <si>
    <t>Insert an appropriate Pivot Chart and a Slicer of Sales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</si>
</sst>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/>
    <xf numFmtId="0" fontId="3" fillId="2" borderId="0" xfId="0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 applyAlignment="1">
      <alignment horizontal="left" vertical="center"/>
    </xf>
    <xf numFmtId="0" fontId="4" fillId="4" borderId="0" xfId="0" applyFont="1" applyFill="1"/>
    <xf numFmtId="0" fontId="5" fillId="0" borderId="0" xfId="0" applyFont="1"/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11">
    <dxf>
      <numFmt numFmtId="164" formatCode="0.0"/>
    </dxf>
    <dxf>
      <numFmt numFmtId="1" formatCode="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font>
        <b/>
      </font>
    </dxf>
    <dxf>
      <numFmt numFmtId="13" formatCode="0%"/>
    </dxf>
    <dxf>
      <numFmt numFmtId="2" formatCode="0.0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50.794099884261" createdVersion="8" refreshedVersion="8" minRefreshableVersion="3" recordCount="100" xr:uid="{FD68BE22-BE1B-784C-8D8B-922A56C39A67}">
  <cacheSource type="worksheet">
    <worksheetSource ref="A1:L101" sheet="Data"/>
  </cacheSource>
  <cacheFields count="12">
    <cacheField name="Product_Category" numFmtId="0">
      <sharedItems/>
    </cacheField>
    <cacheField name="Customer_Segment" numFmtId="0">
      <sharedItems count="3">
        <s v="Individual"/>
        <s v="Business"/>
        <s v="Wholesale"/>
      </sharedItems>
    </cacheField>
    <cacheField name="Payment_Method" numFmtId="0">
      <sharedItems count="4">
        <s v="Credit Card"/>
        <s v="Bank Transfer"/>
        <s v="Cash"/>
        <s v="PayPal"/>
      </sharedItems>
    </cacheField>
    <cacheField name="Region" numFmtId="0">
      <sharedItems/>
    </cacheField>
    <cacheField name="Sales_Channel" numFmtId="0">
      <sharedItems/>
    </cacheField>
    <cacheField name="Order_Status" numFmtId="0">
      <sharedItems/>
    </cacheField>
    <cacheField name="Sale_Amount" numFmtId="2">
      <sharedItems containsSemiMixedTypes="0" containsString="0" containsNumber="1" minValue="0" maxValue="870.45563690178756"/>
    </cacheField>
    <cacheField name="Quantity_Sold" numFmtId="1">
      <sharedItems containsSemiMixedTypes="0" containsString="0" containsNumber="1" minValue="11.624575694019169" maxValue="104.4033833317924"/>
    </cacheField>
    <cacheField name="Discount_Rate" numFmtId="2">
      <sharedItems containsSemiMixedTypes="0" containsString="0" containsNumber="1" minValue="0" maxValue="0.29263657453273612"/>
    </cacheField>
    <cacheField name="Profit_Margin" numFmtId="2">
      <sharedItems containsSemiMixedTypes="0" containsString="0" containsNumber="1" minValue="0" maxValue="0.41898029332176723"/>
    </cacheField>
    <cacheField name="Delivery_Days" numFmtId="2">
      <sharedItems containsSemiMixedTypes="0" containsString="0" containsNumber="1" minValue="1" maxValue="11.157761616910481"/>
    </cacheField>
    <cacheField name="City" numFmtId="2">
      <sharedItems count="10">
        <s v="San Jose"/>
        <s v="Los Angeles"/>
        <s v="San Diego"/>
        <s v="Philadelphia"/>
        <s v="Phoenix"/>
        <s v="Dallas"/>
        <s v="New York"/>
        <s v="San Antonio"/>
        <s v="Houston"/>
        <s v="Chicag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lectronics"/>
    <x v="0"/>
    <x v="0"/>
    <s v="South"/>
    <s v="Online"/>
    <s v="Cancelled"/>
    <n v="599.34283060224652"/>
    <n v="21.692585158991719"/>
    <n v="0.1178893680174142"/>
    <n v="0.1171004989077928"/>
    <n v="1.811144682411266"/>
    <x v="0"/>
  </r>
  <r>
    <s v="Clothing"/>
    <x v="1"/>
    <x v="1"/>
    <s v="East"/>
    <s v="Online"/>
    <s v="Completed"/>
    <n v="472.34713976576307"/>
    <n v="41.58709354469282"/>
    <n v="0.12803922631841169"/>
    <n v="0.14398189598030309"/>
    <n v="3.8012499540924538"/>
    <x v="1"/>
  </r>
  <r>
    <s v="Home &amp; Kitchen"/>
    <x v="2"/>
    <x v="1"/>
    <s v="North"/>
    <s v="Online"/>
    <s v="Cancelled"/>
    <n v="629.53770762013846"/>
    <n v="43.145709669464608"/>
    <n v="0.15415256215876391"/>
    <n v="0.27472936051232622"/>
    <n v="5.0104873994363661"/>
    <x v="2"/>
  </r>
  <r>
    <s v="Sports &amp; Outdoors"/>
    <x v="2"/>
    <x v="0"/>
    <s v="East"/>
    <s v="Catalog"/>
    <s v="Returned"/>
    <n v="804.60597128160509"/>
    <n v="33.95445461556762"/>
    <n v="0.15269010260174509"/>
    <n v="0.26103702654334648"/>
    <n v="5.0939611875294837"/>
    <x v="3"/>
  </r>
  <r>
    <s v="Electronics"/>
    <x v="1"/>
    <x v="2"/>
    <s v="South"/>
    <s v="Phone"/>
    <s v="Pending"/>
    <n v="453.16932505533282"/>
    <n v="46.774285766679817"/>
    <n v="3.1116531602145451E-2"/>
    <n v="0.19790984060358521"/>
    <n v="4.0998690570415128"/>
    <x v="4"/>
  </r>
  <r>
    <s v="Electronics"/>
    <x v="0"/>
    <x v="1"/>
    <s v="South"/>
    <s v="In-store"/>
    <s v="Cancelled"/>
    <n v="453.17260861016388"/>
    <n v="58.081017136290768"/>
    <n v="5.3108748004243873E-2"/>
    <n v="0.21173273833087819"/>
    <n v="6.2456998646949966"/>
    <x v="5"/>
  </r>
  <r>
    <s v="Electronics"/>
    <x v="2"/>
    <x v="2"/>
    <s v="West"/>
    <s v="Online"/>
    <s v="Cancelled"/>
    <n v="815.84256310147828"/>
    <n v="87.723718024210598"/>
    <n v="0.12575176336043301"/>
    <n v="0.32776648957884252"/>
    <n v="2.8647591412348108"/>
    <x v="6"/>
  </r>
  <r>
    <s v="Electronics"/>
    <x v="0"/>
    <x v="3"/>
    <s v="North"/>
    <s v="Catalog"/>
    <s v="Returned"/>
    <n v="653.48694583058182"/>
    <n v="53.491556256636777"/>
    <n v="0.12568929754561051"/>
    <n v="0.140842861116417"/>
    <n v="4.7152410299574132"/>
    <x v="4"/>
  </r>
  <r>
    <s v="Electronics"/>
    <x v="0"/>
    <x v="1"/>
    <s v="South"/>
    <s v="Catalog"/>
    <s v="Cancelled"/>
    <n v="406.10512281300959"/>
    <n v="55.151007814455284"/>
    <n v="0.12575238431530239"/>
    <n v="0.25470973811700381"/>
    <n v="5.2405912634237977"/>
    <x v="3"/>
  </r>
  <r>
    <s v="Clothing"/>
    <x v="2"/>
    <x v="2"/>
    <s v="West"/>
    <s v="Catalog"/>
    <s v="Cancelled"/>
    <n v="608.51200871719288"/>
    <n v="48.511081684676647"/>
    <n v="0.29263657453273612"/>
    <n v="0.17978073475661061"/>
    <n v="6.0288776681174978"/>
    <x v="4"/>
  </r>
  <r>
    <s v="Sports &amp; Outdoors"/>
    <x v="0"/>
    <x v="2"/>
    <s v="North"/>
    <s v="In-store"/>
    <s v="Returned"/>
    <n v="407.31646143750748"/>
    <n v="11.624575694019169"/>
    <n v="0.12854452553465839"/>
    <n v="0.17823187967727799"/>
    <n v="6.4232297561777791"/>
    <x v="3"/>
  </r>
  <r>
    <s v="Home &amp; Kitchen"/>
    <x v="2"/>
    <x v="3"/>
    <s v="South"/>
    <s v="Online"/>
    <s v="Completed"/>
    <n v="406.85404928594858"/>
    <n v="49.469722491015659"/>
    <n v="0.15677828200902999"/>
    <n v="0.30987768519871911"/>
    <n v="2.750715816324262"/>
    <x v="3"/>
  </r>
  <r>
    <s v="Home &amp; Kitchen"/>
    <x v="0"/>
    <x v="2"/>
    <s v="South"/>
    <s v="Phone"/>
    <s v="Returned"/>
    <n v="548.39245431320683"/>
    <n v="51.204604198820533"/>
    <n v="0.1477000881746601"/>
    <n v="0.28254163489880302"/>
    <n v="1.931771658528755"/>
    <x v="7"/>
  </r>
  <r>
    <s v="Home &amp; Kitchen"/>
    <x v="2"/>
    <x v="2"/>
    <s v="North"/>
    <s v="Phone"/>
    <s v="Completed"/>
    <n v="117.3439510684404"/>
    <n v="99.264842249705723"/>
    <n v="0.1325695625652899"/>
    <n v="0.28135096360006379"/>
    <n v="7.5553536437970177"/>
    <x v="8"/>
  </r>
  <r>
    <s v="Home &amp; Kitchen"/>
    <x v="1"/>
    <x v="3"/>
    <s v="North"/>
    <s v="Catalog"/>
    <s v="Pending"/>
    <n v="155.01643349739351"/>
    <n v="46.152780704377548"/>
    <n v="8.4236537767982719E-2"/>
    <n v="0.33054788071543301"/>
    <n v="5.6646280239591844"/>
    <x v="2"/>
  </r>
  <r>
    <s v="Clothing"/>
    <x v="2"/>
    <x v="1"/>
    <s v="North"/>
    <s v="In-store"/>
    <s v="Completed"/>
    <n v="387.54249415180539"/>
    <n v="56.030946846672251"/>
    <n v="0.1379484610246634"/>
    <n v="0.20210038416327589"/>
    <n v="3.5030269268868932"/>
    <x v="7"/>
  </r>
  <r>
    <s v="Beauty &amp; Health"/>
    <x v="2"/>
    <x v="2"/>
    <s v="South"/>
    <s v="In-store"/>
    <s v="Completed"/>
    <n v="297.43377593311533"/>
    <n v="49.305764605895128"/>
    <n v="6.135873927312141E-2"/>
    <n v="0.26819529712949641"/>
    <n v="8.1023039510450463"/>
    <x v="5"/>
  </r>
  <r>
    <s v="Sports &amp; Outdoors"/>
    <x v="2"/>
    <x v="2"/>
    <s v="South"/>
    <s v="In-store"/>
    <s v="Pending"/>
    <n v="562.84946651905477"/>
    <n v="26.626439247609358"/>
    <n v="8.8159069662999565E-2"/>
    <n v="0.1689733243406544"/>
    <n v="5.231349268585717"/>
    <x v="7"/>
  </r>
  <r>
    <s v="Electronics"/>
    <x v="2"/>
    <x v="2"/>
    <s v="West"/>
    <s v="Phone"/>
    <s v="Completed"/>
    <n v="318.39518489575778"/>
    <n v="72.856456290300414"/>
    <n v="7.573182260854483E-2"/>
    <n v="0.23241663524884421"/>
    <n v="7.3585943681276529"/>
    <x v="9"/>
  </r>
  <r>
    <s v="Beauty &amp; Health"/>
    <x v="0"/>
    <x v="0"/>
    <s v="East"/>
    <s v="Catalog"/>
    <s v="Returned"/>
    <n v="217.5392597329417"/>
    <n v="65.038660653735491"/>
    <n v="0.10409370696931609"/>
    <n v="0.18698569456323161"/>
    <n v="5.1350369628202177"/>
    <x v="9"/>
  </r>
  <r>
    <s v="Home &amp; Kitchen"/>
    <x v="1"/>
    <x v="3"/>
    <s v="North"/>
    <s v="Online"/>
    <s v="Completed"/>
    <n v="793.12975378431088"/>
    <n v="65.820638940860931"/>
    <n v="0.21573292833367541"/>
    <n v="0.20969959649927181"/>
    <n v="9.1214958497639742"/>
    <x v="2"/>
  </r>
  <r>
    <s v="Beauty &amp; Health"/>
    <x v="2"/>
    <x v="0"/>
    <s v="South"/>
    <s v="Phone"/>
    <s v="Pending"/>
    <n v="454.84473990269288"/>
    <n v="31.81225090410522"/>
    <n v="6.6367403704125916E-3"/>
    <n v="0.25951570254369138"/>
    <n v="8.5106816848864089"/>
    <x v="4"/>
  </r>
  <r>
    <s v="Sports &amp; Outdoors"/>
    <x v="0"/>
    <x v="3"/>
    <s v="South"/>
    <s v="Catalog"/>
    <s v="Returned"/>
    <n v="513.50564093758476"/>
    <n v="78.05588621872198"/>
    <n v="0.13431300951872571"/>
    <n v="0.11817793167665271"/>
    <n v="4.5020717030418531"/>
    <x v="8"/>
  </r>
  <r>
    <s v="Electronics"/>
    <x v="1"/>
    <x v="1"/>
    <s v="North"/>
    <s v="Catalog"/>
    <s v="Pending"/>
    <n v="215.05036275730859"/>
    <n v="21.96297874415438"/>
    <n v="1.936420644051742E-2"/>
    <n v="0.40923872756854612"/>
    <n v="6.9431419019087111"/>
    <x v="2"/>
  </r>
  <r>
    <s v="Electronics"/>
    <x v="1"/>
    <x v="1"/>
    <s v="East"/>
    <s v="Online"/>
    <s v="Pending"/>
    <n v="391.12345509496339"/>
    <n v="61.73714187600541"/>
    <n v="7.6403406710528338E-2"/>
    <n v="9.9398261850029812E-2"/>
    <n v="6.2907518991702949"/>
    <x v="3"/>
  </r>
  <r>
    <s v="Sports &amp; Outdoors"/>
    <x v="1"/>
    <x v="2"/>
    <s v="North"/>
    <s v="Online"/>
    <s v="Cancelled"/>
    <n v="522.18451794197324"/>
    <n v="93.809112516199576"/>
    <n v="0.15444752984836829"/>
    <n v="7.8581138721226795E-2"/>
    <n v="7.7372631150646978"/>
    <x v="1"/>
  </r>
  <r>
    <s v="Sports &amp; Outdoors"/>
    <x v="1"/>
    <x v="3"/>
    <s v="East"/>
    <s v="Online"/>
    <s v="Cancelled"/>
    <n v="269.80128451553952"/>
    <n v="30.189273497386228"/>
    <n v="0.10321400095477309"/>
    <n v="0.31581108735000679"/>
    <n v="3.070153078839791"/>
    <x v="8"/>
  </r>
  <r>
    <s v="Home &amp; Kitchen"/>
    <x v="2"/>
    <x v="1"/>
    <s v="South"/>
    <s v="In-store"/>
    <s v="Pending"/>
    <n v="575.13960366913443"/>
    <n v="38.674045407944561"/>
    <n v="4.6112761103534697E-2"/>
    <n v="0.27916626939629358"/>
    <n v="6.3721029199968786"/>
    <x v="8"/>
  </r>
  <r>
    <s v="Electronics"/>
    <x v="2"/>
    <x v="3"/>
    <s v="East"/>
    <s v="Online"/>
    <s v="Pending"/>
    <n v="379.87226201623901"/>
    <n v="51.993027301752832"/>
    <n v="6.4234814537001583E-2"/>
    <n v="0.26241198170521551"/>
    <n v="7.1168489736991756"/>
    <x v="3"/>
  </r>
  <r>
    <s v="Beauty &amp; Health"/>
    <x v="0"/>
    <x v="1"/>
    <s v="West"/>
    <s v="Catalog"/>
    <s v="Pending"/>
    <n v="441.661250041345"/>
    <n v="39.930486917676014"/>
    <n v="0.13397988744673381"/>
    <n v="0.26283455092642799"/>
    <n v="1.482521027153771"/>
    <x v="3"/>
  </r>
  <r>
    <s v="Clothing"/>
    <x v="0"/>
    <x v="0"/>
    <s v="South"/>
    <s v="Online"/>
    <s v="Cancelled"/>
    <n v="379.65867755412057"/>
    <n v="18.986731378677352"/>
    <n v="6.3481668414143169E-2"/>
    <n v="0.19877532271530851"/>
    <n v="2.6334829746684498"/>
    <x v="6"/>
  </r>
  <r>
    <s v="Clothing"/>
    <x v="0"/>
    <x v="1"/>
    <s v="West"/>
    <s v="Catalog"/>
    <s v="Cancelled"/>
    <n v="870.45563690178756"/>
    <n v="51.371259496120537"/>
    <n v="0.11082292947909871"/>
    <n v="0.1102745628514168"/>
    <n v="1"/>
    <x v="2"/>
  </r>
  <r>
    <s v="Sports &amp; Outdoors"/>
    <x v="1"/>
    <x v="0"/>
    <s v="North"/>
    <s v="Phone"/>
    <s v="Completed"/>
    <n v="497.30055505241319"/>
    <n v="28.753925725477899"/>
    <n v="0.1022785919951907"/>
    <n v="0.20758045581937271"/>
    <n v="4.4611863311108841"/>
    <x v="3"/>
  </r>
  <r>
    <s v="Home &amp; Kitchen"/>
    <x v="1"/>
    <x v="1"/>
    <s v="North"/>
    <s v="In-store"/>
    <s v="Completed"/>
    <n v="288.45781420882003"/>
    <n v="59.471848612703631"/>
    <n v="6.7419982619709148E-2"/>
    <n v="0.13228382884878881"/>
    <n v="6.4350845115919242"/>
    <x v="9"/>
  </r>
  <r>
    <s v="Clothing"/>
    <x v="2"/>
    <x v="2"/>
    <s v="North"/>
    <s v="Phone"/>
    <s v="Pending"/>
    <n v="664.50898242063784"/>
    <n v="31.611515315323938"/>
    <n v="0.2071972044662663"/>
    <n v="0.29751197334177509"/>
    <n v="8.0047141041920558"/>
    <x v="5"/>
  </r>
  <r>
    <s v="Electronics"/>
    <x v="1"/>
    <x v="0"/>
    <s v="East"/>
    <s v="Phone"/>
    <s v="Returned"/>
    <n v="255.83127000579549"/>
    <n v="80.99868810035079"/>
    <n v="0.1316959511159006"/>
    <n v="0.18529426184978609"/>
    <n v="5.1481895608395503"/>
    <x v="1"/>
  </r>
  <r>
    <s v="Sports &amp; Outdoors"/>
    <x v="1"/>
    <x v="1"/>
    <s v="South"/>
    <s v="Catalog"/>
    <s v="Returned"/>
    <n v="541.77271900095104"/>
    <n v="34.334934153275263"/>
    <n v="0"/>
    <n v="0.11745028032074881"/>
    <n v="8.2572310911425841"/>
    <x v="2"/>
  </r>
  <r>
    <s v="Beauty &amp; Health"/>
    <x v="1"/>
    <x v="2"/>
    <s v="North"/>
    <s v="Phone"/>
    <s v="Cancelled"/>
    <n v="108.06597522404491"/>
    <n v="43.558769675886488"/>
    <n v="0.1093227157384714"/>
    <n v="0.16786141583470071"/>
    <n v="2.2397970835702168"/>
    <x v="0"/>
  </r>
  <r>
    <s v="Sports &amp; Outdoors"/>
    <x v="0"/>
    <x v="0"/>
    <s v="North"/>
    <s v="Catalog"/>
    <s v="Cancelled"/>
    <n v="234.36279022031391"/>
    <n v="66.27034434739339"/>
    <n v="6.6910676761580606E-2"/>
    <n v="0.24129314542756239"/>
    <n v="1.5932351212896909"/>
    <x v="9"/>
  </r>
  <r>
    <s v="Beauty &amp; Health"/>
    <x v="0"/>
    <x v="2"/>
    <s v="South"/>
    <s v="Online"/>
    <s v="Cancelled"/>
    <n v="539.37224717382469"/>
    <n v="25.3827136713209"/>
    <n v="0.14262166673981119"/>
    <n v="0.14362754471960251"/>
    <n v="4.8889046022067628"/>
    <x v="4"/>
  </r>
  <r>
    <s v="Sports &amp; Outdoors"/>
    <x v="2"/>
    <x v="3"/>
    <s v="North"/>
    <s v="Online"/>
    <s v="Pending"/>
    <n v="647.69331599908207"/>
    <n v="54.549198692082591"/>
    <n v="6.037396307836497E-2"/>
    <n v="0.11777796044335689"/>
    <n v="5.7681308978786143"/>
    <x v="3"/>
  </r>
  <r>
    <s v="Sports &amp; Outdoors"/>
    <x v="1"/>
    <x v="3"/>
    <s v="West"/>
    <s v="Catalog"/>
    <s v="Returned"/>
    <n v="534.27365623799415"/>
    <n v="76.142855085648563"/>
    <n v="9.4263177926655062E-2"/>
    <n v="0.22436872114919121"/>
    <n v="4.9346105038118138"/>
    <x v="0"/>
  </r>
  <r>
    <s v="Sports &amp; Outdoors"/>
    <x v="1"/>
    <x v="0"/>
    <s v="South"/>
    <s v="Online"/>
    <s v="Completed"/>
    <n v="476.8703435223519"/>
    <n v="17.850335308775449"/>
    <n v="0.12524936394902289"/>
    <n v="0.2244966571108723"/>
    <n v="1"/>
    <x v="3"/>
  </r>
  <r>
    <s v="Beauty &amp; Health"/>
    <x v="2"/>
    <x v="1"/>
    <s v="South"/>
    <s v="In-store"/>
    <s v="Pending"/>
    <n v="439.77926088214218"/>
    <n v="53.692677170646093"/>
    <n v="0.1432877597085061"/>
    <n v="0.149305682462887"/>
    <n v="4.8217599209744231"/>
    <x v="8"/>
  </r>
  <r>
    <s v="Beauty &amp; Health"/>
    <x v="1"/>
    <x v="0"/>
    <s v="South"/>
    <s v="Phone"/>
    <s v="Completed"/>
    <n v="204.29560192651451"/>
    <n v="55.197655884968469"/>
    <n v="3.998517964721119E-2"/>
    <n v="0.1528961694381677"/>
    <n v="2.391060998990294"/>
    <x v="9"/>
  </r>
  <r>
    <s v="Sports &amp; Outdoors"/>
    <x v="1"/>
    <x v="2"/>
    <s v="West"/>
    <s v="In-store"/>
    <s v="Completed"/>
    <n v="356.03115832105829"/>
    <n v="65.636457435546205"/>
    <n v="8.3274938207952592E-2"/>
    <n v="0.22320499373576361"/>
    <n v="6.3393450976600771"/>
    <x v="8"/>
  </r>
  <r>
    <s v="Clothing"/>
    <x v="0"/>
    <x v="1"/>
    <s v="South"/>
    <s v="Phone"/>
    <s v="Pending"/>
    <n v="407.87224580804252"/>
    <n v="25.260985782438361"/>
    <n v="7.62527344419522E-2"/>
    <n v="5.5191565850267597E-2"/>
    <n v="5.7331964921936969"/>
    <x v="6"/>
  </r>
  <r>
    <s v="Home &amp; Kitchen"/>
    <x v="2"/>
    <x v="3"/>
    <s v="West"/>
    <s v="Online"/>
    <s v="Completed"/>
    <n v="711.42444524378311"/>
    <n v="23.590867738314468"/>
    <n v="6.7333538371314408E-2"/>
    <n v="5.9253622562344482E-2"/>
    <n v="3.1202404273452902"/>
    <x v="8"/>
  </r>
  <r>
    <s v="Home &amp; Kitchen"/>
    <x v="2"/>
    <x v="1"/>
    <s v="South"/>
    <s v="In-store"/>
    <s v="Returned"/>
    <n v="568.72365791369225"/>
    <n v="60.438831312337953"/>
    <n v="0.18827271201405479"/>
    <n v="0.1281555778747564"/>
    <n v="3.9722661653266131"/>
    <x v="6"/>
  </r>
  <r>
    <s v="Home &amp; Kitchen"/>
    <x v="2"/>
    <x v="3"/>
    <s v="East"/>
    <s v="Online"/>
    <s v="Completed"/>
    <n v="147.39196892745321"/>
    <n v="55.939693464663719"/>
    <n v="0.12024908554804779"/>
    <n v="0.17865528482881529"/>
    <n v="2.8815729562220969"/>
    <x v="6"/>
  </r>
  <r>
    <s v="Beauty &amp; Health"/>
    <x v="2"/>
    <x v="1"/>
    <s v="North"/>
    <s v="Phone"/>
    <s v="Returned"/>
    <n v="564.81679387895906"/>
    <n v="55.009857006917528"/>
    <n v="3.6955802283247741E-2"/>
    <n v="0.23109075655980049"/>
    <n v="4.8746418054536562"/>
    <x v="0"/>
  </r>
  <r>
    <s v="Beauty &amp; Health"/>
    <x v="0"/>
    <x v="1"/>
    <s v="East"/>
    <s v="Catalog"/>
    <s v="Returned"/>
    <n v="422.98354391673672"/>
    <n v="56.928964189939506"/>
    <n v="0.14589309735273881"/>
    <n v="0.34753562169495522"/>
    <n v="6.9102846410024767"/>
    <x v="3"/>
  </r>
  <r>
    <s v="Clothing"/>
    <x v="0"/>
    <x v="1"/>
    <s v="North"/>
    <s v="Catalog"/>
    <s v="Returned"/>
    <n v="364.61559993880832"/>
    <n v="36.399505568430193"/>
    <n v="0.20610780985063171"/>
    <n v="0.28576596232020202"/>
    <n v="3.028547907328913"/>
    <x v="4"/>
  </r>
  <r>
    <s v="Home &amp; Kitchen"/>
    <x v="1"/>
    <x v="2"/>
    <s v="West"/>
    <s v="In-store"/>
    <s v="Cancelled"/>
    <n v="622.33525776817362"/>
    <n v="54.645073943220069"/>
    <n v="0.15162326302755741"/>
    <n v="0.18400614700365731"/>
    <n v="6.0080930310356884"/>
    <x v="8"/>
  </r>
  <r>
    <s v="Home &amp; Kitchen"/>
    <x v="1"/>
    <x v="2"/>
    <s v="East"/>
    <s v="Online"/>
    <s v="Completed"/>
    <n v="706.19990449919021"/>
    <n v="55.861449465973621"/>
    <n v="2.403150170229933E-2"/>
    <n v="0.19809837920973111"/>
    <n v="3.939484763255118"/>
    <x v="9"/>
  </r>
  <r>
    <s v="Sports &amp; Outdoors"/>
    <x v="1"/>
    <x v="0"/>
    <s v="South"/>
    <s v="Online"/>
    <s v="Pending"/>
    <n v="686.25602382323973"/>
    <n v="35.712971639472642"/>
    <n v="7.5788296356687435E-2"/>
    <n v="9.9747063536219122E-2"/>
    <n v="3.4142543354753121"/>
    <x v="6"/>
  </r>
  <r>
    <s v="Beauty &amp; Health"/>
    <x v="1"/>
    <x v="0"/>
    <s v="North"/>
    <s v="In-store"/>
    <s v="Pending"/>
    <n v="332.15649535547232"/>
    <n v="87.315490222895136"/>
    <n v="0.16334555745933119"/>
    <n v="0.198148686400761"/>
    <n v="4.7859392800908847"/>
    <x v="3"/>
  </r>
  <r>
    <s v="Home &amp; Kitchen"/>
    <x v="0"/>
    <x v="3"/>
    <s v="North"/>
    <s v="Catalog"/>
    <s v="Completed"/>
    <n v="438.15752482975711"/>
    <n v="59.476658418235751"/>
    <n v="6.4616526719060957E-2"/>
    <n v="0.1711341361079862"/>
    <n v="2.9295153551612518"/>
    <x v="1"/>
  </r>
  <r>
    <s v="Clothing"/>
    <x v="2"/>
    <x v="2"/>
    <s v="East"/>
    <s v="Phone"/>
    <s v="Cancelled"/>
    <n v="566.25268628071285"/>
    <n v="26.173930055947029"/>
    <n v="0.1221909714073114"/>
    <n v="0.23227185603380901"/>
    <n v="3.8927013893056359"/>
    <x v="2"/>
  </r>
  <r>
    <s v="Clothing"/>
    <x v="0"/>
    <x v="3"/>
    <s v="West"/>
    <s v="In-store"/>
    <s v="Cancelled"/>
    <n v="695.10902542447184"/>
    <n v="63.131072172676603"/>
    <n v="0.13873170267146681"/>
    <n v="0.1172769056447677"/>
    <n v="2.6042442148223031"/>
    <x v="0"/>
  </r>
  <r>
    <s v="Home &amp; Kitchen"/>
    <x v="1"/>
    <x v="0"/>
    <s v="East"/>
    <s v="Phone"/>
    <s v="Returned"/>
    <n v="404.16515243094199"/>
    <n v="30.506366595453571"/>
    <n v="5.3653476421095858E-2"/>
    <n v="0.25193465142411731"/>
    <n v="8.929450265832779"/>
    <x v="4"/>
  </r>
  <r>
    <s v="Beauty &amp; Health"/>
    <x v="0"/>
    <x v="3"/>
    <s v="West"/>
    <s v="Catalog"/>
    <s v="Completed"/>
    <n v="462.86820466723663"/>
    <n v="65.741692074849041"/>
    <n v="9.7023732196910004E-2"/>
    <n v="0.35327389130025783"/>
    <n v="5.0705271039434576"/>
    <x v="7"/>
  </r>
  <r>
    <s v="Clothing"/>
    <x v="2"/>
    <x v="0"/>
    <s v="West"/>
    <s v="Online"/>
    <s v="Completed"/>
    <n v="278.73300519879427"/>
    <n v="73.171911580148077"/>
    <n v="0"/>
    <n v="0.18912398515431431"/>
    <n v="3.600548984014829"/>
    <x v="0"/>
  </r>
  <r>
    <s v="Sports &amp; Outdoors"/>
    <x v="2"/>
    <x v="2"/>
    <s v="North"/>
    <s v="Catalog"/>
    <s v="Pending"/>
    <n v="260.75867518386588"/>
    <n v="33.586353632965789"/>
    <n v="4.878061793328551E-2"/>
    <n v="0.24017117220989409"/>
    <n v="5.4279598214684439"/>
    <x v="1"/>
  </r>
  <r>
    <s v="Clothing"/>
    <x v="0"/>
    <x v="1"/>
    <s v="East"/>
    <s v="In-store"/>
    <s v="Completed"/>
    <n v="662.50516447883956"/>
    <n v="69.267522584886436"/>
    <n v="8.7371592430341982E-2"/>
    <n v="0.26901439917111131"/>
    <n v="4.7753439006183402"/>
    <x v="2"/>
  </r>
  <r>
    <s v="Electronics"/>
    <x v="0"/>
    <x v="2"/>
    <s v="East"/>
    <s v="Online"/>
    <s v="Cancelled"/>
    <n v="771.24800571416461"/>
    <n v="58.255618538729962"/>
    <n v="3.7610840901757529E-2"/>
    <n v="0.1598779528114164"/>
    <n v="4.5580608009335544"/>
    <x v="1"/>
  </r>
  <r>
    <s v="Electronics"/>
    <x v="0"/>
    <x v="3"/>
    <s v="West"/>
    <s v="In-store"/>
    <s v="Completed"/>
    <n v="485.59797568393321"/>
    <n v="66.441203199889799"/>
    <n v="0.18162056519658179"/>
    <n v="0.22240924818104171"/>
    <n v="6.22833340008685"/>
    <x v="8"/>
  </r>
  <r>
    <s v="Beauty &amp; Health"/>
    <x v="1"/>
    <x v="3"/>
    <s v="East"/>
    <s v="In-store"/>
    <s v="Pending"/>
    <n v="700.7065795784049"/>
    <n v="87.93585965307895"/>
    <n v="2.849293110196836E-2"/>
    <n v="0.2012592400781795"/>
    <n v="6.5150154200946098"/>
    <x v="6"/>
  </r>
  <r>
    <s v="Home &amp; Kitchen"/>
    <x v="0"/>
    <x v="2"/>
    <s v="South"/>
    <s v="Catalog"/>
    <s v="Returned"/>
    <n v="572.32720500952678"/>
    <n v="45.092237679942592"/>
    <n v="7.7997775665150815E-2"/>
    <n v="0.20976760985488321"/>
    <n v="3.9389977047789451"/>
    <x v="4"/>
  </r>
  <r>
    <s v="Beauty &amp; Health"/>
    <x v="0"/>
    <x v="2"/>
    <s v="South"/>
    <s v="In-store"/>
    <s v="Pending"/>
    <n v="370.97604907897522"/>
    <n v="34.925276712850213"/>
    <n v="0.10653702886430461"/>
    <n v="0.1226990216144534"/>
    <n v="3.8483635187106402"/>
    <x v="5"/>
  </r>
  <r>
    <s v="Beauty &amp; Health"/>
    <x v="0"/>
    <x v="0"/>
    <s v="East"/>
    <s v="Catalog"/>
    <s v="Pending"/>
    <n v="572.27912110168279"/>
    <n v="32.209711407489543"/>
    <n v="0.17206366445330579"/>
    <n v="0.2024510174258943"/>
    <n v="4.4498966056967122"/>
    <x v="6"/>
  </r>
  <r>
    <s v="Beauty &amp; Health"/>
    <x v="2"/>
    <x v="3"/>
    <s v="East"/>
    <s v="Online"/>
    <s v="Returned"/>
    <n v="807.60731329319378"/>
    <n v="33.683794300691233"/>
    <n v="2.8206892441028031E-2"/>
    <n v="0.24979982912454499"/>
    <n v="1"/>
    <x v="5"/>
  </r>
  <r>
    <s v="Beauty &amp; Health"/>
    <x v="2"/>
    <x v="3"/>
    <s v="West"/>
    <s v="Catalog"/>
    <s v="Pending"/>
    <n v="492.83479217800971"/>
    <n v="48.457965811717919"/>
    <n v="0.158158187607748"/>
    <n v="0.34511436077950419"/>
    <n v="1.969617875602895"/>
    <x v="2"/>
  </r>
  <r>
    <s v="Sports &amp; Outdoors"/>
    <x v="1"/>
    <x v="2"/>
    <s v="South"/>
    <s v="Online"/>
    <s v="Pending"/>
    <n v="812.92873116280123"/>
    <n v="56.823039496332868"/>
    <n v="0.10051165305097939"/>
    <n v="0.29592708260852069"/>
    <n v="7.7337485348890489"/>
    <x v="3"/>
  </r>
  <r>
    <s v="Sports &amp; Outdoors"/>
    <x v="1"/>
    <x v="1"/>
    <s v="South"/>
    <s v="Catalog"/>
    <s v="Completed"/>
    <n v="0"/>
    <n v="55.533815986600381"/>
    <n v="5.0924567447602459E-2"/>
    <n v="0.41531824575115572"/>
    <n v="8.2899354270025682"/>
    <x v="7"/>
  </r>
  <r>
    <s v="Clothing"/>
    <x v="2"/>
    <x v="3"/>
    <s v="North"/>
    <s v="Phone"/>
    <s v="Completed"/>
    <n v="664.38050087504473"/>
    <n v="66.543664980720479"/>
    <n v="0.1231051737131635"/>
    <n v="0.1232652437111951"/>
    <n v="4.5019279208872431"/>
    <x v="9"/>
  </r>
  <r>
    <s v="Electronics"/>
    <x v="2"/>
    <x v="1"/>
    <s v="West"/>
    <s v="Phone"/>
    <s v="Returned"/>
    <n v="517.40941364763421"/>
    <n v="50.260037837558137"/>
    <n v="0.1099529847786735"/>
    <n v="0.28723206367206783"/>
    <n v="6.1531139261115326"/>
    <x v="6"/>
  </r>
  <r>
    <s v="Beauty &amp; Health"/>
    <x v="2"/>
    <x v="2"/>
    <s v="North"/>
    <s v="In-store"/>
    <s v="Completed"/>
    <n v="440.19852990682648"/>
    <n v="79.070681543146335"/>
    <n v="6.9989156142060277E-2"/>
    <n v="0.21833420057383521"/>
    <n v="5.622500309087072"/>
    <x v="4"/>
  </r>
  <r>
    <s v="Clothing"/>
    <x v="0"/>
    <x v="2"/>
    <s v="South"/>
    <s v="Catalog"/>
    <s v="Completed"/>
    <n v="518.35215530710047"/>
    <n v="44.706863335240882"/>
    <n v="0.10349010424950091"/>
    <n v="0.41898029332176723"/>
    <n v="11.157761616910481"/>
    <x v="1"/>
  </r>
  <r>
    <s v="Electronics"/>
    <x v="0"/>
    <x v="0"/>
    <s v="West"/>
    <s v="Catalog"/>
    <s v="Pending"/>
    <n v="102.4862170798214"/>
    <n v="104.4033833317924"/>
    <n v="8.0734320156911996E-2"/>
    <n v="0.1191701714644849"/>
    <n v="7.2391498228691544"/>
    <x v="4"/>
  </r>
  <r>
    <s v="Home &amp; Kitchen"/>
    <x v="2"/>
    <x v="3"/>
    <s v="East"/>
    <s v="Online"/>
    <s v="Cancelled"/>
    <n v="456.06562243249761"/>
    <n v="62.513346955300122"/>
    <n v="0.1056758672625624"/>
    <n v="0.11602781578192239"/>
    <n v="4.7441648170384667"/>
    <x v="2"/>
  </r>
  <r>
    <s v="Sports &amp; Outdoors"/>
    <x v="0"/>
    <x v="1"/>
    <s v="West"/>
    <s v="In-store"/>
    <s v="Completed"/>
    <n v="571.42251430234933"/>
    <n v="32.856848871674337"/>
    <n v="0.13310653372605241"/>
    <n v="0.1400607354555978"/>
    <n v="3.088919118799148"/>
    <x v="5"/>
  </r>
  <r>
    <s v="Electronics"/>
    <x v="0"/>
    <x v="0"/>
    <s v="East"/>
    <s v="Catalog"/>
    <s v="Cancelled"/>
    <n v="795.57880894830328"/>
    <n v="28.582150038777751"/>
    <n v="0.1793008408072676"/>
    <n v="0"/>
    <n v="1.787107359484855"/>
    <x v="1"/>
  </r>
  <r>
    <s v="Home &amp; Kitchen"/>
    <x v="1"/>
    <x v="3"/>
    <s v="East"/>
    <s v="In-store"/>
    <s v="Completed"/>
    <n v="396.34595634527051"/>
    <n v="59.649448304863697"/>
    <n v="3.8109225058657548E-2"/>
    <n v="0.14742449783192391"/>
    <n v="5.4069272717344461"/>
    <x v="9"/>
  </r>
  <r>
    <s v="Electronics"/>
    <x v="2"/>
    <x v="0"/>
    <s v="West"/>
    <s v="Phone"/>
    <s v="Completed"/>
    <n v="338.30127942136238"/>
    <n v="45.530744293482982"/>
    <n v="0.20665166873281329"/>
    <n v="0.1240867338446302"/>
    <n v="3.4872985094313931"/>
    <x v="9"/>
  </r>
  <r>
    <s v="Sports &amp; Outdoors"/>
    <x v="2"/>
    <x v="2"/>
    <s v="East"/>
    <s v="Catalog"/>
    <s v="Returned"/>
    <n v="399.64859128309268"/>
    <n v="64.280009881841835"/>
    <n v="2.395610023874908E-3"/>
    <n v="0.21503937864762079"/>
    <n v="2.1554925808046521"/>
    <x v="6"/>
  </r>
  <r>
    <s v="Sports &amp; Outdoors"/>
    <x v="0"/>
    <x v="3"/>
    <s v="North"/>
    <s v="Catalog"/>
    <s v="Returned"/>
    <n v="683.08042354041481"/>
    <n v="59.464752491470897"/>
    <n v="9.2410745248220835E-2"/>
    <n v="0.23417559757771589"/>
    <n v="3.7068542315149471"/>
    <x v="2"/>
  </r>
  <r>
    <s v="Clothing"/>
    <x v="2"/>
    <x v="0"/>
    <s v="South"/>
    <s v="In-store"/>
    <s v="Returned"/>
    <n v="565.75022193193695"/>
    <n v="48.543421746862542"/>
    <n v="0.1294158603242288"/>
    <n v="0.38761708392158872"/>
    <n v="2.8369039927712101"/>
    <x v="3"/>
  </r>
  <r>
    <s v="Beauty &amp; Health"/>
    <x v="1"/>
    <x v="0"/>
    <s v="East"/>
    <s v="Catalog"/>
    <s v="Cancelled"/>
    <n v="394.04795924659231"/>
    <n v="33.0641256386319"/>
    <n v="0.11404959338675159"/>
    <n v="0.29504238381860498"/>
    <n v="8.3742832701451295"/>
    <x v="2"/>
  </r>
  <r>
    <s v="Electronics"/>
    <x v="1"/>
    <x v="1"/>
    <s v="North"/>
    <s v="In-store"/>
    <s v="Pending"/>
    <n v="602.65348662267127"/>
    <n v="19.703055506282709"/>
    <n v="6.8865024008970321E-2"/>
    <n v="0.14230963443375971"/>
    <n v="6.763279513898901"/>
    <x v="5"/>
  </r>
  <r>
    <s v="Electronics"/>
    <x v="1"/>
    <x v="0"/>
    <s v="East"/>
    <s v="Catalog"/>
    <s v="Completed"/>
    <n v="519.41550986960806"/>
    <n v="41.069700958659581"/>
    <n v="8.9593887482136245E-2"/>
    <n v="0.11015853286516419"/>
    <n v="4.9840547173667664"/>
    <x v="4"/>
  </r>
  <r>
    <s v="Home &amp; Kitchen"/>
    <x v="2"/>
    <x v="3"/>
    <s v="South"/>
    <s v="Online"/>
    <s v="Completed"/>
    <n v="693.72899810657782"/>
    <n v="67.127975886469443"/>
    <n v="7.5349953267058359E-2"/>
    <n v="0.24919191715065059"/>
    <n v="7.9598882777800517"/>
    <x v="9"/>
  </r>
  <r>
    <s v="Sports &amp; Outdoors"/>
    <x v="2"/>
    <x v="3"/>
    <s v="North"/>
    <s v="In-store"/>
    <s v="Completed"/>
    <n v="359.58938122452952"/>
    <n v="54.281874882604079"/>
    <n v="7.0531762152789432E-2"/>
    <n v="6.7976679297935799E-2"/>
    <n v="5.1547366152952367"/>
    <x v="4"/>
  </r>
  <r>
    <s v="Electronics"/>
    <x v="2"/>
    <x v="1"/>
    <s v="South"/>
    <s v="Catalog"/>
    <s v="Cancelled"/>
    <n v="434.46757068044627"/>
    <n v="25.085224425760241"/>
    <n v="0.1424801048510512"/>
    <n v="0.38314587658543542"/>
    <n v="3.277431597343472"/>
    <x v="4"/>
  </r>
  <r>
    <s v="Sports &amp; Outdoors"/>
    <x v="2"/>
    <x v="3"/>
    <s v="South"/>
    <s v="Phone"/>
    <s v="Returned"/>
    <n v="421.57836937356848"/>
    <n v="53.46361851702364"/>
    <n v="0.1178507742982524"/>
    <n v="0.31794401207212869"/>
    <n v="8.046248154539315"/>
    <x v="4"/>
  </r>
  <r>
    <s v="Electronics"/>
    <x v="2"/>
    <x v="2"/>
    <s v="North"/>
    <s v="Catalog"/>
    <s v="Pending"/>
    <n v="207.29701037357631"/>
    <n v="57.706347594576727"/>
    <n v="6.5354520236967292E-2"/>
    <n v="0.15308243478952949"/>
    <n v="6.0778200873693171"/>
    <x v="9"/>
  </r>
  <r>
    <s v="Clothing"/>
    <x v="1"/>
    <x v="3"/>
    <s v="North"/>
    <s v="Phone"/>
    <s v="Cancelled"/>
    <n v="559.22405541291516"/>
    <n v="32.322851275977342"/>
    <n v="0.14497999377166251"/>
    <n v="2.868654709091226E-2"/>
    <n v="2.9255076913470872"/>
    <x v="0"/>
  </r>
  <r>
    <s v="Beauty &amp; Health"/>
    <x v="0"/>
    <x v="3"/>
    <s v="North"/>
    <s v="Phone"/>
    <s v="Returned"/>
    <n v="552.21105443597787"/>
    <n v="53.074502118910559"/>
    <n v="0.1153649760438305"/>
    <n v="0.33538723741654131"/>
    <n v="4.6193226438327839"/>
    <x v="8"/>
  </r>
  <r>
    <s v="Electronics"/>
    <x v="1"/>
    <x v="0"/>
    <s v="West"/>
    <s v="Online"/>
    <s v="Cancelled"/>
    <n v="501.02269132849221"/>
    <n v="51.164174368920001"/>
    <n v="0.14064310594194801"/>
    <n v="0.1885460154747382"/>
    <n v="3.2487634932304861"/>
    <x v="5"/>
  </r>
  <r>
    <s v="Sports &amp; Outdoors"/>
    <x v="2"/>
    <x v="0"/>
    <s v="North"/>
    <s v="In-store"/>
    <s v="Pending"/>
    <n v="453.08257332497061"/>
    <n v="27.140594043387541"/>
    <n v="0.1314814420961806"/>
    <n v="0.32378163119734621"/>
    <n v="2.234400538071327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CBD37-60E7-8340-9F92-A7F8401B1F7F}" name="PivotTable1" cacheId="2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E7" firstHeaderRow="1" firstDataRow="2" firstDataCol="1"/>
  <pivotFields count="12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2" showAll="0"/>
    <pivotField numFmtId="1" showAll="0"/>
    <pivotField dataField="1" numFmtId="2" showAll="0"/>
    <pivotField dataField="1" numFmtId="2" showAll="0"/>
    <pivotField numFmtId="2" showAll="0"/>
    <pivotField showAll="0"/>
  </pivotFields>
  <rowFields count="1">
    <field x="-2"/>
  </rowFields>
  <rowItems count="2">
    <i>
      <x/>
    </i>
    <i i="1">
      <x v="1"/>
    </i>
  </rowItems>
  <colFields count="1">
    <field x="1"/>
  </colFields>
  <colItems count="4">
    <i>
      <x/>
    </i>
    <i>
      <x v="1"/>
    </i>
    <i>
      <x v="2"/>
    </i>
    <i t="grand">
      <x/>
    </i>
  </colItems>
  <dataFields count="2">
    <dataField name="Average of Discount_Rate" fld="8" subtotal="average" baseField="0" baseItem="0"/>
    <dataField name="Average of Profit_Margin" fld="9" subtotal="average" baseField="0" baseItem="0"/>
  </dataFields>
  <formats count="3"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outline="0" collapsedLevelsAreSubtotals="1" fieldPosition="0"/>
    </format>
    <format dxfId="8">
      <pivotArea collapsedLevelsAreSubtotals="1" fieldPosition="0">
        <references count="1">
          <reference field="4294967294" count="2">
            <x v="0"/>
            <x v="1"/>
          </reference>
        </references>
      </pivotArea>
    </format>
  </formats>
  <chartFormats count="9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8D38E-B919-4E4B-8117-C80965667F28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:C45" firstHeaderRow="0" firstDataRow="1" firstDataCol="1"/>
  <pivotFields count="12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numFmtId="2" showAll="0"/>
    <pivotField dataField="1" numFmtId="1" showAll="0"/>
    <pivotField numFmtId="2" showAll="0"/>
    <pivotField numFmtId="2" showAll="0"/>
    <pivotField numFmtId="2" showAll="0"/>
    <pivotField axis="axisRow" showAll="0">
      <items count="11">
        <item x="9"/>
        <item x="5"/>
        <item x="8"/>
        <item x="1"/>
        <item x="6"/>
        <item x="3"/>
        <item x="4"/>
        <item x="7"/>
        <item x="2"/>
        <item x="0"/>
        <item t="default"/>
      </items>
    </pivotField>
  </pivotFields>
  <rowFields count="2">
    <field x="11"/>
    <field x="1"/>
  </rowFields>
  <rowItems count="4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_Amount" fld="6" subtotal="average" baseField="0" baseItem="0"/>
    <dataField name="Average of Quantity_Sold" fld="7" subtotal="average" baseField="0" baseItem="0"/>
  </dataFields>
  <formats count="2"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68FFA-EE96-434B-AE5F-244B7C33B3AD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C9" firstHeaderRow="0" firstDataRow="1" firstDataCol="1"/>
  <pivotFields count="12"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numFmtId="2" showAll="0"/>
    <pivotField dataField="1" numFmtId="1" showAll="0"/>
    <pivotField numFmtId="2" showAll="0"/>
    <pivotField numFmtId="2" showAll="0"/>
    <pivotField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_Method" fld="2" subtotal="count" baseField="0" baseItem="0"/>
    <dataField name="Sum of Quantity_Sold" fld="7" baseField="0" baseItem="0" numFmtId="1"/>
  </dataFields>
  <formats count="2">
    <format dxfId="5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L101"/>
  <sheetViews>
    <sheetView workbookViewId="0">
      <selection activeCell="B25" sqref="B25"/>
    </sheetView>
  </sheetViews>
  <sheetFormatPr baseColWidth="10" defaultRowHeight="16" x14ac:dyDescent="0.2"/>
  <cols>
    <col min="1" max="1" width="16.33203125" bestFit="1" customWidth="1"/>
    <col min="2" max="2" width="16.5" bestFit="1" customWidth="1"/>
    <col min="3" max="3" width="15.1640625" bestFit="1" customWidth="1"/>
    <col min="4" max="4" width="6.5" bestFit="1" customWidth="1"/>
    <col min="5" max="5" width="12.1640625" bestFit="1" customWidth="1"/>
    <col min="6" max="6" width="11.1640625" bestFit="1" customWidth="1"/>
    <col min="7" max="7" width="18.83203125" bestFit="1" customWidth="1"/>
    <col min="8" max="8" width="12.1640625" bestFit="1" customWidth="1"/>
    <col min="9" max="9" width="12.33203125" bestFit="1" customWidth="1"/>
    <col min="10" max="10" width="11.83203125" bestFit="1" customWidth="1"/>
    <col min="11" max="11" width="12" bestFit="1" customWidth="1"/>
    <col min="12" max="12" width="11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599.34283060224652</v>
      </c>
      <c r="H2" s="5">
        <v>21.692585158991719</v>
      </c>
      <c r="I2" s="2">
        <v>0.1178893680174142</v>
      </c>
      <c r="J2" s="2">
        <v>0.1171004989077928</v>
      </c>
      <c r="K2" s="2">
        <v>1.811144682411266</v>
      </c>
      <c r="L2" s="2" t="s">
        <v>17</v>
      </c>
    </row>
    <row r="3" spans="1:12" x14ac:dyDescent="0.2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s="2">
        <v>472.34713976576307</v>
      </c>
      <c r="H3" s="5">
        <v>41.58709354469282</v>
      </c>
      <c r="I3" s="2">
        <v>0.12803922631841169</v>
      </c>
      <c r="J3" s="2">
        <v>0.14398189598030309</v>
      </c>
      <c r="K3" s="2">
        <v>3.8012499540924538</v>
      </c>
      <c r="L3" s="2" t="s">
        <v>23</v>
      </c>
    </row>
    <row r="4" spans="1:12" x14ac:dyDescent="0.2">
      <c r="A4" t="s">
        <v>24</v>
      </c>
      <c r="B4" t="s">
        <v>25</v>
      </c>
      <c r="C4" t="s">
        <v>20</v>
      </c>
      <c r="D4" t="s">
        <v>26</v>
      </c>
      <c r="E4" t="s">
        <v>15</v>
      </c>
      <c r="F4" t="s">
        <v>16</v>
      </c>
      <c r="G4" s="2">
        <v>629.53770762013846</v>
      </c>
      <c r="H4" s="5">
        <v>43.145709669464608</v>
      </c>
      <c r="I4" s="2">
        <v>0.15415256215876391</v>
      </c>
      <c r="J4" s="2">
        <v>0.27472936051232622</v>
      </c>
      <c r="K4" s="2">
        <v>5.0104873994363661</v>
      </c>
      <c r="L4" s="2" t="s">
        <v>27</v>
      </c>
    </row>
    <row r="5" spans="1:12" x14ac:dyDescent="0.2">
      <c r="A5" t="s">
        <v>28</v>
      </c>
      <c r="B5" t="s">
        <v>25</v>
      </c>
      <c r="C5" t="s">
        <v>13</v>
      </c>
      <c r="D5" t="s">
        <v>21</v>
      </c>
      <c r="E5" t="s">
        <v>29</v>
      </c>
      <c r="F5" t="s">
        <v>30</v>
      </c>
      <c r="G5" s="2">
        <v>804.60597128160509</v>
      </c>
      <c r="H5" s="5">
        <v>33.95445461556762</v>
      </c>
      <c r="I5" s="2">
        <v>0.15269010260174509</v>
      </c>
      <c r="J5" s="2">
        <v>0.26103702654334648</v>
      </c>
      <c r="K5" s="2">
        <v>5.0939611875294837</v>
      </c>
      <c r="L5" s="2" t="s">
        <v>31</v>
      </c>
    </row>
    <row r="6" spans="1:12" x14ac:dyDescent="0.2">
      <c r="A6" t="s">
        <v>11</v>
      </c>
      <c r="B6" t="s">
        <v>19</v>
      </c>
      <c r="C6" t="s">
        <v>32</v>
      </c>
      <c r="D6" t="s">
        <v>14</v>
      </c>
      <c r="E6" t="s">
        <v>33</v>
      </c>
      <c r="F6" t="s">
        <v>34</v>
      </c>
      <c r="G6" s="2">
        <v>453.16932505533282</v>
      </c>
      <c r="H6" s="5">
        <v>46.774285766679817</v>
      </c>
      <c r="I6" s="2">
        <v>3.1116531602145451E-2</v>
      </c>
      <c r="J6" s="2">
        <v>0.19790984060358521</v>
      </c>
      <c r="K6" s="2">
        <v>4.0998690570415128</v>
      </c>
      <c r="L6" s="2" t="s">
        <v>35</v>
      </c>
    </row>
    <row r="7" spans="1:12" x14ac:dyDescent="0.2">
      <c r="A7" t="s">
        <v>11</v>
      </c>
      <c r="B7" t="s">
        <v>12</v>
      </c>
      <c r="C7" t="s">
        <v>20</v>
      </c>
      <c r="D7" t="s">
        <v>14</v>
      </c>
      <c r="E7" t="s">
        <v>36</v>
      </c>
      <c r="F7" t="s">
        <v>16</v>
      </c>
      <c r="G7" s="2">
        <v>453.17260861016388</v>
      </c>
      <c r="H7" s="5">
        <v>58.081017136290768</v>
      </c>
      <c r="I7" s="2">
        <v>5.3108748004243873E-2</v>
      </c>
      <c r="J7" s="2">
        <v>0.21173273833087819</v>
      </c>
      <c r="K7" s="2">
        <v>6.2456998646949966</v>
      </c>
      <c r="L7" s="2" t="s">
        <v>37</v>
      </c>
    </row>
    <row r="8" spans="1:12" x14ac:dyDescent="0.2">
      <c r="A8" t="s">
        <v>11</v>
      </c>
      <c r="B8" t="s">
        <v>25</v>
      </c>
      <c r="C8" t="s">
        <v>32</v>
      </c>
      <c r="D8" t="s">
        <v>38</v>
      </c>
      <c r="E8" t="s">
        <v>15</v>
      </c>
      <c r="F8" t="s">
        <v>16</v>
      </c>
      <c r="G8" s="2">
        <v>815.84256310147828</v>
      </c>
      <c r="H8" s="5">
        <v>87.723718024210598</v>
      </c>
      <c r="I8" s="2">
        <v>0.12575176336043301</v>
      </c>
      <c r="J8" s="2">
        <v>0.32776648957884252</v>
      </c>
      <c r="K8" s="2">
        <v>2.8647591412348108</v>
      </c>
      <c r="L8" s="2" t="s">
        <v>39</v>
      </c>
    </row>
    <row r="9" spans="1:12" x14ac:dyDescent="0.2">
      <c r="A9" t="s">
        <v>11</v>
      </c>
      <c r="B9" t="s">
        <v>12</v>
      </c>
      <c r="C9" t="s">
        <v>40</v>
      </c>
      <c r="D9" t="s">
        <v>26</v>
      </c>
      <c r="E9" t="s">
        <v>29</v>
      </c>
      <c r="F9" t="s">
        <v>30</v>
      </c>
      <c r="G9" s="2">
        <v>653.48694583058182</v>
      </c>
      <c r="H9" s="5">
        <v>53.491556256636777</v>
      </c>
      <c r="I9" s="2">
        <v>0.12568929754561051</v>
      </c>
      <c r="J9" s="2">
        <v>0.140842861116417</v>
      </c>
      <c r="K9" s="2">
        <v>4.7152410299574132</v>
      </c>
      <c r="L9" s="2" t="s">
        <v>35</v>
      </c>
    </row>
    <row r="10" spans="1:12" x14ac:dyDescent="0.2">
      <c r="A10" t="s">
        <v>11</v>
      </c>
      <c r="B10" t="s">
        <v>12</v>
      </c>
      <c r="C10" t="s">
        <v>20</v>
      </c>
      <c r="D10" t="s">
        <v>14</v>
      </c>
      <c r="E10" t="s">
        <v>29</v>
      </c>
      <c r="F10" t="s">
        <v>16</v>
      </c>
      <c r="G10" s="2">
        <v>406.10512281300959</v>
      </c>
      <c r="H10" s="5">
        <v>55.151007814455284</v>
      </c>
      <c r="I10" s="2">
        <v>0.12575238431530239</v>
      </c>
      <c r="J10" s="2">
        <v>0.25470973811700381</v>
      </c>
      <c r="K10" s="2">
        <v>5.2405912634237977</v>
      </c>
      <c r="L10" s="2" t="s">
        <v>31</v>
      </c>
    </row>
    <row r="11" spans="1:12" x14ac:dyDescent="0.2">
      <c r="A11" t="s">
        <v>18</v>
      </c>
      <c r="B11" t="s">
        <v>25</v>
      </c>
      <c r="C11" t="s">
        <v>32</v>
      </c>
      <c r="D11" t="s">
        <v>38</v>
      </c>
      <c r="E11" t="s">
        <v>29</v>
      </c>
      <c r="F11" t="s">
        <v>16</v>
      </c>
      <c r="G11" s="2">
        <v>608.51200871719288</v>
      </c>
      <c r="H11" s="5">
        <v>48.511081684676647</v>
      </c>
      <c r="I11" s="2">
        <v>0.29263657453273612</v>
      </c>
      <c r="J11" s="2">
        <v>0.17978073475661061</v>
      </c>
      <c r="K11" s="2">
        <v>6.0288776681174978</v>
      </c>
      <c r="L11" s="2" t="s">
        <v>35</v>
      </c>
    </row>
    <row r="12" spans="1:12" x14ac:dyDescent="0.2">
      <c r="A12" t="s">
        <v>28</v>
      </c>
      <c r="B12" t="s">
        <v>12</v>
      </c>
      <c r="C12" t="s">
        <v>32</v>
      </c>
      <c r="D12" t="s">
        <v>26</v>
      </c>
      <c r="E12" t="s">
        <v>36</v>
      </c>
      <c r="F12" t="s">
        <v>30</v>
      </c>
      <c r="G12" s="2">
        <v>407.31646143750748</v>
      </c>
      <c r="H12" s="5">
        <v>11.624575694019169</v>
      </c>
      <c r="I12" s="2">
        <v>0.12854452553465839</v>
      </c>
      <c r="J12" s="2">
        <v>0.17823187967727799</v>
      </c>
      <c r="K12" s="2">
        <v>6.4232297561777791</v>
      </c>
      <c r="L12" s="2" t="s">
        <v>31</v>
      </c>
    </row>
    <row r="13" spans="1:12" x14ac:dyDescent="0.2">
      <c r="A13" t="s">
        <v>24</v>
      </c>
      <c r="B13" t="s">
        <v>25</v>
      </c>
      <c r="C13" t="s">
        <v>40</v>
      </c>
      <c r="D13" t="s">
        <v>14</v>
      </c>
      <c r="E13" t="s">
        <v>15</v>
      </c>
      <c r="F13" t="s">
        <v>22</v>
      </c>
      <c r="G13" s="2">
        <v>406.85404928594858</v>
      </c>
      <c r="H13" s="5">
        <v>49.469722491015659</v>
      </c>
      <c r="I13" s="2">
        <v>0.15677828200902999</v>
      </c>
      <c r="J13" s="2">
        <v>0.30987768519871911</v>
      </c>
      <c r="K13" s="2">
        <v>2.750715816324262</v>
      </c>
      <c r="L13" s="2" t="s">
        <v>31</v>
      </c>
    </row>
    <row r="14" spans="1:12" x14ac:dyDescent="0.2">
      <c r="A14" t="s">
        <v>24</v>
      </c>
      <c r="B14" t="s">
        <v>12</v>
      </c>
      <c r="C14" t="s">
        <v>32</v>
      </c>
      <c r="D14" t="s">
        <v>14</v>
      </c>
      <c r="E14" t="s">
        <v>33</v>
      </c>
      <c r="F14" t="s">
        <v>30</v>
      </c>
      <c r="G14" s="2">
        <v>548.39245431320683</v>
      </c>
      <c r="H14" s="5">
        <v>51.204604198820533</v>
      </c>
      <c r="I14" s="2">
        <v>0.1477000881746601</v>
      </c>
      <c r="J14" s="2">
        <v>0.28254163489880302</v>
      </c>
      <c r="K14" s="2">
        <v>1.931771658528755</v>
      </c>
      <c r="L14" s="2" t="s">
        <v>41</v>
      </c>
    </row>
    <row r="15" spans="1:12" x14ac:dyDescent="0.2">
      <c r="A15" t="s">
        <v>24</v>
      </c>
      <c r="B15" t="s">
        <v>25</v>
      </c>
      <c r="C15" t="s">
        <v>32</v>
      </c>
      <c r="D15" t="s">
        <v>26</v>
      </c>
      <c r="E15" t="s">
        <v>33</v>
      </c>
      <c r="F15" t="s">
        <v>22</v>
      </c>
      <c r="G15" s="2">
        <v>117.3439510684404</v>
      </c>
      <c r="H15" s="5">
        <v>99.264842249705723</v>
      </c>
      <c r="I15" s="2">
        <v>0.1325695625652899</v>
      </c>
      <c r="J15" s="2">
        <v>0.28135096360006379</v>
      </c>
      <c r="K15" s="2">
        <v>7.5553536437970177</v>
      </c>
      <c r="L15" s="2" t="s">
        <v>42</v>
      </c>
    </row>
    <row r="16" spans="1:12" x14ac:dyDescent="0.2">
      <c r="A16" t="s">
        <v>24</v>
      </c>
      <c r="B16" t="s">
        <v>19</v>
      </c>
      <c r="C16" t="s">
        <v>40</v>
      </c>
      <c r="D16" t="s">
        <v>26</v>
      </c>
      <c r="E16" t="s">
        <v>29</v>
      </c>
      <c r="F16" t="s">
        <v>34</v>
      </c>
      <c r="G16" s="2">
        <v>155.01643349739351</v>
      </c>
      <c r="H16" s="5">
        <v>46.152780704377548</v>
      </c>
      <c r="I16" s="2">
        <v>8.4236537767982719E-2</v>
      </c>
      <c r="J16" s="2">
        <v>0.33054788071543301</v>
      </c>
      <c r="K16" s="2">
        <v>5.6646280239591844</v>
      </c>
      <c r="L16" s="2" t="s">
        <v>27</v>
      </c>
    </row>
    <row r="17" spans="1:12" x14ac:dyDescent="0.2">
      <c r="A17" t="s">
        <v>18</v>
      </c>
      <c r="B17" t="s">
        <v>25</v>
      </c>
      <c r="C17" t="s">
        <v>20</v>
      </c>
      <c r="D17" t="s">
        <v>26</v>
      </c>
      <c r="E17" t="s">
        <v>36</v>
      </c>
      <c r="F17" t="s">
        <v>22</v>
      </c>
      <c r="G17" s="2">
        <v>387.54249415180539</v>
      </c>
      <c r="H17" s="5">
        <v>56.030946846672251</v>
      </c>
      <c r="I17" s="2">
        <v>0.1379484610246634</v>
      </c>
      <c r="J17" s="2">
        <v>0.20210038416327589</v>
      </c>
      <c r="K17" s="2">
        <v>3.5030269268868932</v>
      </c>
      <c r="L17" s="2" t="s">
        <v>41</v>
      </c>
    </row>
    <row r="18" spans="1:12" x14ac:dyDescent="0.2">
      <c r="A18" t="s">
        <v>43</v>
      </c>
      <c r="B18" t="s">
        <v>25</v>
      </c>
      <c r="C18" t="s">
        <v>32</v>
      </c>
      <c r="D18" t="s">
        <v>14</v>
      </c>
      <c r="E18" t="s">
        <v>36</v>
      </c>
      <c r="F18" t="s">
        <v>22</v>
      </c>
      <c r="G18" s="2">
        <v>297.43377593311533</v>
      </c>
      <c r="H18" s="5">
        <v>49.305764605895128</v>
      </c>
      <c r="I18" s="2">
        <v>6.135873927312141E-2</v>
      </c>
      <c r="J18" s="2">
        <v>0.26819529712949641</v>
      </c>
      <c r="K18" s="2">
        <v>8.1023039510450463</v>
      </c>
      <c r="L18" s="2" t="s">
        <v>37</v>
      </c>
    </row>
    <row r="19" spans="1:12" x14ac:dyDescent="0.2">
      <c r="A19" t="s">
        <v>28</v>
      </c>
      <c r="B19" t="s">
        <v>25</v>
      </c>
      <c r="C19" t="s">
        <v>32</v>
      </c>
      <c r="D19" t="s">
        <v>14</v>
      </c>
      <c r="E19" t="s">
        <v>36</v>
      </c>
      <c r="F19" t="s">
        <v>34</v>
      </c>
      <c r="G19" s="2">
        <v>562.84946651905477</v>
      </c>
      <c r="H19" s="5">
        <v>26.626439247609358</v>
      </c>
      <c r="I19" s="2">
        <v>8.8159069662999565E-2</v>
      </c>
      <c r="J19" s="2">
        <v>0.1689733243406544</v>
      </c>
      <c r="K19" s="2">
        <v>5.231349268585717</v>
      </c>
      <c r="L19" s="2" t="s">
        <v>41</v>
      </c>
    </row>
    <row r="20" spans="1:12" x14ac:dyDescent="0.2">
      <c r="A20" t="s">
        <v>11</v>
      </c>
      <c r="B20" t="s">
        <v>25</v>
      </c>
      <c r="C20" t="s">
        <v>32</v>
      </c>
      <c r="D20" t="s">
        <v>38</v>
      </c>
      <c r="E20" t="s">
        <v>33</v>
      </c>
      <c r="F20" t="s">
        <v>22</v>
      </c>
      <c r="G20" s="2">
        <v>318.39518489575778</v>
      </c>
      <c r="H20" s="5">
        <v>72.856456290300414</v>
      </c>
      <c r="I20" s="2">
        <v>7.573182260854483E-2</v>
      </c>
      <c r="J20" s="2">
        <v>0.23241663524884421</v>
      </c>
      <c r="K20" s="2">
        <v>7.3585943681276529</v>
      </c>
      <c r="L20" s="2" t="s">
        <v>44</v>
      </c>
    </row>
    <row r="21" spans="1:12" x14ac:dyDescent="0.2">
      <c r="A21" t="s">
        <v>43</v>
      </c>
      <c r="B21" t="s">
        <v>12</v>
      </c>
      <c r="C21" t="s">
        <v>13</v>
      </c>
      <c r="D21" t="s">
        <v>21</v>
      </c>
      <c r="E21" t="s">
        <v>29</v>
      </c>
      <c r="F21" t="s">
        <v>30</v>
      </c>
      <c r="G21" s="2">
        <v>217.5392597329417</v>
      </c>
      <c r="H21" s="5">
        <v>65.038660653735491</v>
      </c>
      <c r="I21" s="2">
        <v>0.10409370696931609</v>
      </c>
      <c r="J21" s="2">
        <v>0.18698569456323161</v>
      </c>
      <c r="K21" s="2">
        <v>5.1350369628202177</v>
      </c>
      <c r="L21" s="2" t="s">
        <v>44</v>
      </c>
    </row>
    <row r="22" spans="1:12" x14ac:dyDescent="0.2">
      <c r="A22" t="s">
        <v>24</v>
      </c>
      <c r="B22" t="s">
        <v>19</v>
      </c>
      <c r="C22" t="s">
        <v>40</v>
      </c>
      <c r="D22" t="s">
        <v>26</v>
      </c>
      <c r="E22" t="s">
        <v>15</v>
      </c>
      <c r="F22" t="s">
        <v>22</v>
      </c>
      <c r="G22" s="2">
        <v>793.12975378431088</v>
      </c>
      <c r="H22" s="5">
        <v>65.820638940860931</v>
      </c>
      <c r="I22" s="2">
        <v>0.21573292833367541</v>
      </c>
      <c r="J22" s="2">
        <v>0.20969959649927181</v>
      </c>
      <c r="K22" s="2">
        <v>9.1214958497639742</v>
      </c>
      <c r="L22" s="2" t="s">
        <v>27</v>
      </c>
    </row>
    <row r="23" spans="1:12" x14ac:dyDescent="0.2">
      <c r="A23" t="s">
        <v>43</v>
      </c>
      <c r="B23" t="s">
        <v>25</v>
      </c>
      <c r="C23" t="s">
        <v>13</v>
      </c>
      <c r="D23" t="s">
        <v>14</v>
      </c>
      <c r="E23" t="s">
        <v>33</v>
      </c>
      <c r="F23" t="s">
        <v>34</v>
      </c>
      <c r="G23" s="2">
        <v>454.84473990269288</v>
      </c>
      <c r="H23" s="5">
        <v>31.81225090410522</v>
      </c>
      <c r="I23" s="2">
        <v>6.6367403704125916E-3</v>
      </c>
      <c r="J23" s="2">
        <v>0.25951570254369138</v>
      </c>
      <c r="K23" s="2">
        <v>8.5106816848864089</v>
      </c>
      <c r="L23" s="2" t="s">
        <v>35</v>
      </c>
    </row>
    <row r="24" spans="1:12" x14ac:dyDescent="0.2">
      <c r="A24" t="s">
        <v>28</v>
      </c>
      <c r="B24" t="s">
        <v>12</v>
      </c>
      <c r="C24" t="s">
        <v>40</v>
      </c>
      <c r="D24" t="s">
        <v>14</v>
      </c>
      <c r="E24" t="s">
        <v>29</v>
      </c>
      <c r="F24" t="s">
        <v>30</v>
      </c>
      <c r="G24" s="2">
        <v>513.50564093758476</v>
      </c>
      <c r="H24" s="5">
        <v>78.05588621872198</v>
      </c>
      <c r="I24" s="2">
        <v>0.13431300951872571</v>
      </c>
      <c r="J24" s="2">
        <v>0.11817793167665271</v>
      </c>
      <c r="K24" s="2">
        <v>4.5020717030418531</v>
      </c>
      <c r="L24" s="2" t="s">
        <v>42</v>
      </c>
    </row>
    <row r="25" spans="1:12" x14ac:dyDescent="0.2">
      <c r="A25" t="s">
        <v>11</v>
      </c>
      <c r="B25" t="s">
        <v>19</v>
      </c>
      <c r="C25" t="s">
        <v>20</v>
      </c>
      <c r="D25" t="s">
        <v>26</v>
      </c>
      <c r="E25" t="s">
        <v>29</v>
      </c>
      <c r="F25" t="s">
        <v>34</v>
      </c>
      <c r="G25" s="2">
        <v>215.05036275730859</v>
      </c>
      <c r="H25" s="5">
        <v>21.96297874415438</v>
      </c>
      <c r="I25" s="2">
        <v>1.936420644051742E-2</v>
      </c>
      <c r="J25" s="2">
        <v>0.40923872756854612</v>
      </c>
      <c r="K25" s="2">
        <v>6.9431419019087111</v>
      </c>
      <c r="L25" s="2" t="s">
        <v>27</v>
      </c>
    </row>
    <row r="26" spans="1:12" x14ac:dyDescent="0.2">
      <c r="A26" t="s">
        <v>11</v>
      </c>
      <c r="B26" t="s">
        <v>19</v>
      </c>
      <c r="C26" t="s">
        <v>20</v>
      </c>
      <c r="D26" t="s">
        <v>21</v>
      </c>
      <c r="E26" t="s">
        <v>15</v>
      </c>
      <c r="F26" t="s">
        <v>34</v>
      </c>
      <c r="G26" s="2">
        <v>391.12345509496339</v>
      </c>
      <c r="H26" s="5">
        <v>61.73714187600541</v>
      </c>
      <c r="I26" s="2">
        <v>7.6403406710528338E-2</v>
      </c>
      <c r="J26" s="2">
        <v>9.9398261850029812E-2</v>
      </c>
      <c r="K26" s="2">
        <v>6.2907518991702949</v>
      </c>
      <c r="L26" s="2" t="s">
        <v>31</v>
      </c>
    </row>
    <row r="27" spans="1:12" x14ac:dyDescent="0.2">
      <c r="A27" t="s">
        <v>28</v>
      </c>
      <c r="B27" t="s">
        <v>19</v>
      </c>
      <c r="C27" t="s">
        <v>32</v>
      </c>
      <c r="D27" t="s">
        <v>26</v>
      </c>
      <c r="E27" t="s">
        <v>15</v>
      </c>
      <c r="F27" t="s">
        <v>16</v>
      </c>
      <c r="G27" s="2">
        <v>522.18451794197324</v>
      </c>
      <c r="H27" s="5">
        <v>93.809112516199576</v>
      </c>
      <c r="I27" s="2">
        <v>0.15444752984836829</v>
      </c>
      <c r="J27" s="2">
        <v>7.8581138721226795E-2</v>
      </c>
      <c r="K27" s="2">
        <v>7.7372631150646978</v>
      </c>
      <c r="L27" s="2" t="s">
        <v>23</v>
      </c>
    </row>
    <row r="28" spans="1:12" x14ac:dyDescent="0.2">
      <c r="A28" t="s">
        <v>28</v>
      </c>
      <c r="B28" t="s">
        <v>19</v>
      </c>
      <c r="C28" t="s">
        <v>40</v>
      </c>
      <c r="D28" t="s">
        <v>21</v>
      </c>
      <c r="E28" t="s">
        <v>15</v>
      </c>
      <c r="F28" t="s">
        <v>16</v>
      </c>
      <c r="G28" s="2">
        <v>269.80128451553952</v>
      </c>
      <c r="H28" s="5">
        <v>30.189273497386228</v>
      </c>
      <c r="I28" s="2">
        <v>0.10321400095477309</v>
      </c>
      <c r="J28" s="2">
        <v>0.31581108735000679</v>
      </c>
      <c r="K28" s="2">
        <v>3.070153078839791</v>
      </c>
      <c r="L28" s="2" t="s">
        <v>42</v>
      </c>
    </row>
    <row r="29" spans="1:12" x14ac:dyDescent="0.2">
      <c r="A29" t="s">
        <v>24</v>
      </c>
      <c r="B29" t="s">
        <v>25</v>
      </c>
      <c r="C29" t="s">
        <v>20</v>
      </c>
      <c r="D29" t="s">
        <v>14</v>
      </c>
      <c r="E29" t="s">
        <v>36</v>
      </c>
      <c r="F29" t="s">
        <v>34</v>
      </c>
      <c r="G29" s="2">
        <v>575.13960366913443</v>
      </c>
      <c r="H29" s="5">
        <v>38.674045407944561</v>
      </c>
      <c r="I29" s="2">
        <v>4.6112761103534697E-2</v>
      </c>
      <c r="J29" s="2">
        <v>0.27916626939629358</v>
      </c>
      <c r="K29" s="2">
        <v>6.3721029199968786</v>
      </c>
      <c r="L29" s="2" t="s">
        <v>42</v>
      </c>
    </row>
    <row r="30" spans="1:12" x14ac:dyDescent="0.2">
      <c r="A30" t="s">
        <v>11</v>
      </c>
      <c r="B30" t="s">
        <v>25</v>
      </c>
      <c r="C30" t="s">
        <v>40</v>
      </c>
      <c r="D30" t="s">
        <v>21</v>
      </c>
      <c r="E30" t="s">
        <v>15</v>
      </c>
      <c r="F30" t="s">
        <v>34</v>
      </c>
      <c r="G30" s="2">
        <v>379.87226201623901</v>
      </c>
      <c r="H30" s="5">
        <v>51.993027301752832</v>
      </c>
      <c r="I30" s="2">
        <v>6.4234814537001583E-2</v>
      </c>
      <c r="J30" s="2">
        <v>0.26241198170521551</v>
      </c>
      <c r="K30" s="2">
        <v>7.1168489736991756</v>
      </c>
      <c r="L30" s="2" t="s">
        <v>31</v>
      </c>
    </row>
    <row r="31" spans="1:12" x14ac:dyDescent="0.2">
      <c r="A31" t="s">
        <v>43</v>
      </c>
      <c r="B31" t="s">
        <v>12</v>
      </c>
      <c r="C31" t="s">
        <v>20</v>
      </c>
      <c r="D31" t="s">
        <v>38</v>
      </c>
      <c r="E31" t="s">
        <v>29</v>
      </c>
      <c r="F31" t="s">
        <v>34</v>
      </c>
      <c r="G31" s="2">
        <v>441.661250041345</v>
      </c>
      <c r="H31" s="5">
        <v>39.930486917676014</v>
      </c>
      <c r="I31" s="2">
        <v>0.13397988744673381</v>
      </c>
      <c r="J31" s="2">
        <v>0.26283455092642799</v>
      </c>
      <c r="K31" s="2">
        <v>1.482521027153771</v>
      </c>
      <c r="L31" s="2" t="s">
        <v>31</v>
      </c>
    </row>
    <row r="32" spans="1:12" x14ac:dyDescent="0.2">
      <c r="A32" t="s">
        <v>18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s="2">
        <v>379.65867755412057</v>
      </c>
      <c r="H32" s="5">
        <v>18.986731378677352</v>
      </c>
      <c r="I32" s="2">
        <v>6.3481668414143169E-2</v>
      </c>
      <c r="J32" s="2">
        <v>0.19877532271530851</v>
      </c>
      <c r="K32" s="2">
        <v>2.6334829746684498</v>
      </c>
      <c r="L32" s="2" t="s">
        <v>39</v>
      </c>
    </row>
    <row r="33" spans="1:12" x14ac:dyDescent="0.2">
      <c r="A33" t="s">
        <v>18</v>
      </c>
      <c r="B33" t="s">
        <v>12</v>
      </c>
      <c r="C33" t="s">
        <v>20</v>
      </c>
      <c r="D33" t="s">
        <v>38</v>
      </c>
      <c r="E33" t="s">
        <v>29</v>
      </c>
      <c r="F33" t="s">
        <v>16</v>
      </c>
      <c r="G33" s="2">
        <v>870.45563690178756</v>
      </c>
      <c r="H33" s="5">
        <v>51.371259496120537</v>
      </c>
      <c r="I33" s="2">
        <v>0.11082292947909871</v>
      </c>
      <c r="J33" s="2">
        <v>0.1102745628514168</v>
      </c>
      <c r="K33" s="2">
        <v>1</v>
      </c>
      <c r="L33" s="2" t="s">
        <v>27</v>
      </c>
    </row>
    <row r="34" spans="1:12" x14ac:dyDescent="0.2">
      <c r="A34" t="s">
        <v>28</v>
      </c>
      <c r="B34" t="s">
        <v>19</v>
      </c>
      <c r="C34" t="s">
        <v>13</v>
      </c>
      <c r="D34" t="s">
        <v>26</v>
      </c>
      <c r="E34" t="s">
        <v>33</v>
      </c>
      <c r="F34" t="s">
        <v>22</v>
      </c>
      <c r="G34" s="2">
        <v>497.30055505241319</v>
      </c>
      <c r="H34" s="5">
        <v>28.753925725477899</v>
      </c>
      <c r="I34" s="2">
        <v>0.1022785919951907</v>
      </c>
      <c r="J34" s="2">
        <v>0.20758045581937271</v>
      </c>
      <c r="K34" s="2">
        <v>4.4611863311108841</v>
      </c>
      <c r="L34" s="2" t="s">
        <v>31</v>
      </c>
    </row>
    <row r="35" spans="1:12" x14ac:dyDescent="0.2">
      <c r="A35" t="s">
        <v>24</v>
      </c>
      <c r="B35" t="s">
        <v>19</v>
      </c>
      <c r="C35" t="s">
        <v>20</v>
      </c>
      <c r="D35" t="s">
        <v>26</v>
      </c>
      <c r="E35" t="s">
        <v>36</v>
      </c>
      <c r="F35" t="s">
        <v>22</v>
      </c>
      <c r="G35" s="2">
        <v>288.45781420882003</v>
      </c>
      <c r="H35" s="5">
        <v>59.471848612703631</v>
      </c>
      <c r="I35" s="2">
        <v>6.7419982619709148E-2</v>
      </c>
      <c r="J35" s="2">
        <v>0.13228382884878881</v>
      </c>
      <c r="K35" s="2">
        <v>6.4350845115919242</v>
      </c>
      <c r="L35" s="2" t="s">
        <v>44</v>
      </c>
    </row>
    <row r="36" spans="1:12" x14ac:dyDescent="0.2">
      <c r="A36" t="s">
        <v>18</v>
      </c>
      <c r="B36" t="s">
        <v>25</v>
      </c>
      <c r="C36" t="s">
        <v>32</v>
      </c>
      <c r="D36" t="s">
        <v>26</v>
      </c>
      <c r="E36" t="s">
        <v>33</v>
      </c>
      <c r="F36" t="s">
        <v>34</v>
      </c>
      <c r="G36" s="2">
        <v>664.50898242063784</v>
      </c>
      <c r="H36" s="5">
        <v>31.611515315323938</v>
      </c>
      <c r="I36" s="2">
        <v>0.2071972044662663</v>
      </c>
      <c r="J36" s="2">
        <v>0.29751197334177509</v>
      </c>
      <c r="K36" s="2">
        <v>8.0047141041920558</v>
      </c>
      <c r="L36" s="2" t="s">
        <v>37</v>
      </c>
    </row>
    <row r="37" spans="1:12" x14ac:dyDescent="0.2">
      <c r="A37" t="s">
        <v>11</v>
      </c>
      <c r="B37" t="s">
        <v>19</v>
      </c>
      <c r="C37" t="s">
        <v>13</v>
      </c>
      <c r="D37" t="s">
        <v>21</v>
      </c>
      <c r="E37" t="s">
        <v>33</v>
      </c>
      <c r="F37" t="s">
        <v>30</v>
      </c>
      <c r="G37" s="2">
        <v>255.83127000579549</v>
      </c>
      <c r="H37" s="5">
        <v>80.99868810035079</v>
      </c>
      <c r="I37" s="2">
        <v>0.1316959511159006</v>
      </c>
      <c r="J37" s="2">
        <v>0.18529426184978609</v>
      </c>
      <c r="K37" s="2">
        <v>5.1481895608395503</v>
      </c>
      <c r="L37" s="2" t="s">
        <v>23</v>
      </c>
    </row>
    <row r="38" spans="1:12" x14ac:dyDescent="0.2">
      <c r="A38" t="s">
        <v>28</v>
      </c>
      <c r="B38" t="s">
        <v>19</v>
      </c>
      <c r="C38" t="s">
        <v>20</v>
      </c>
      <c r="D38" t="s">
        <v>14</v>
      </c>
      <c r="E38" t="s">
        <v>29</v>
      </c>
      <c r="F38" t="s">
        <v>30</v>
      </c>
      <c r="G38" s="2">
        <v>541.77271900095104</v>
      </c>
      <c r="H38" s="5">
        <v>34.334934153275263</v>
      </c>
      <c r="I38" s="2">
        <v>0</v>
      </c>
      <c r="J38" s="2">
        <v>0.11745028032074881</v>
      </c>
      <c r="K38" s="2">
        <v>8.2572310911425841</v>
      </c>
      <c r="L38" s="2" t="s">
        <v>27</v>
      </c>
    </row>
    <row r="39" spans="1:12" x14ac:dyDescent="0.2">
      <c r="A39" t="s">
        <v>43</v>
      </c>
      <c r="B39" t="s">
        <v>19</v>
      </c>
      <c r="C39" t="s">
        <v>32</v>
      </c>
      <c r="D39" t="s">
        <v>26</v>
      </c>
      <c r="E39" t="s">
        <v>33</v>
      </c>
      <c r="F39" t="s">
        <v>16</v>
      </c>
      <c r="G39" s="2">
        <v>108.06597522404491</v>
      </c>
      <c r="H39" s="5">
        <v>43.558769675886488</v>
      </c>
      <c r="I39" s="2">
        <v>0.1093227157384714</v>
      </c>
      <c r="J39" s="2">
        <v>0.16786141583470071</v>
      </c>
      <c r="K39" s="2">
        <v>2.2397970835702168</v>
      </c>
      <c r="L39" s="2" t="s">
        <v>17</v>
      </c>
    </row>
    <row r="40" spans="1:12" x14ac:dyDescent="0.2">
      <c r="A40" t="s">
        <v>28</v>
      </c>
      <c r="B40" t="s">
        <v>12</v>
      </c>
      <c r="C40" t="s">
        <v>13</v>
      </c>
      <c r="D40" t="s">
        <v>26</v>
      </c>
      <c r="E40" t="s">
        <v>29</v>
      </c>
      <c r="F40" t="s">
        <v>16</v>
      </c>
      <c r="G40" s="2">
        <v>234.36279022031391</v>
      </c>
      <c r="H40" s="5">
        <v>66.27034434739339</v>
      </c>
      <c r="I40" s="2">
        <v>6.6910676761580606E-2</v>
      </c>
      <c r="J40" s="2">
        <v>0.24129314542756239</v>
      </c>
      <c r="K40" s="2">
        <v>1.5932351212896909</v>
      </c>
      <c r="L40" s="2" t="s">
        <v>44</v>
      </c>
    </row>
    <row r="41" spans="1:12" x14ac:dyDescent="0.2">
      <c r="A41" t="s">
        <v>43</v>
      </c>
      <c r="B41" t="s">
        <v>12</v>
      </c>
      <c r="C41" t="s">
        <v>32</v>
      </c>
      <c r="D41" t="s">
        <v>14</v>
      </c>
      <c r="E41" t="s">
        <v>15</v>
      </c>
      <c r="F41" t="s">
        <v>16</v>
      </c>
      <c r="G41" s="2">
        <v>539.37224717382469</v>
      </c>
      <c r="H41" s="5">
        <v>25.3827136713209</v>
      </c>
      <c r="I41" s="2">
        <v>0.14262166673981119</v>
      </c>
      <c r="J41" s="2">
        <v>0.14362754471960251</v>
      </c>
      <c r="K41" s="2">
        <v>4.8889046022067628</v>
      </c>
      <c r="L41" s="2" t="s">
        <v>35</v>
      </c>
    </row>
    <row r="42" spans="1:12" x14ac:dyDescent="0.2">
      <c r="A42" t="s">
        <v>28</v>
      </c>
      <c r="B42" t="s">
        <v>25</v>
      </c>
      <c r="C42" t="s">
        <v>40</v>
      </c>
      <c r="D42" t="s">
        <v>26</v>
      </c>
      <c r="E42" t="s">
        <v>15</v>
      </c>
      <c r="F42" t="s">
        <v>34</v>
      </c>
      <c r="G42" s="2">
        <v>647.69331599908207</v>
      </c>
      <c r="H42" s="5">
        <v>54.549198692082591</v>
      </c>
      <c r="I42" s="2">
        <v>6.037396307836497E-2</v>
      </c>
      <c r="J42" s="2">
        <v>0.11777796044335689</v>
      </c>
      <c r="K42" s="2">
        <v>5.7681308978786143</v>
      </c>
      <c r="L42" s="2" t="s">
        <v>31</v>
      </c>
    </row>
    <row r="43" spans="1:12" x14ac:dyDescent="0.2">
      <c r="A43" t="s">
        <v>28</v>
      </c>
      <c r="B43" t="s">
        <v>19</v>
      </c>
      <c r="C43" t="s">
        <v>40</v>
      </c>
      <c r="D43" t="s">
        <v>38</v>
      </c>
      <c r="E43" t="s">
        <v>29</v>
      </c>
      <c r="F43" t="s">
        <v>30</v>
      </c>
      <c r="G43" s="2">
        <v>534.27365623799415</v>
      </c>
      <c r="H43" s="5">
        <v>76.142855085648563</v>
      </c>
      <c r="I43" s="2">
        <v>9.4263177926655062E-2</v>
      </c>
      <c r="J43" s="2">
        <v>0.22436872114919121</v>
      </c>
      <c r="K43" s="2">
        <v>4.9346105038118138</v>
      </c>
      <c r="L43" s="2" t="s">
        <v>17</v>
      </c>
    </row>
    <row r="44" spans="1:12" x14ac:dyDescent="0.2">
      <c r="A44" t="s">
        <v>28</v>
      </c>
      <c r="B44" t="s">
        <v>19</v>
      </c>
      <c r="C44" t="s">
        <v>13</v>
      </c>
      <c r="D44" t="s">
        <v>14</v>
      </c>
      <c r="E44" t="s">
        <v>15</v>
      </c>
      <c r="F44" t="s">
        <v>22</v>
      </c>
      <c r="G44" s="2">
        <v>476.8703435223519</v>
      </c>
      <c r="H44" s="5">
        <v>17.850335308775449</v>
      </c>
      <c r="I44" s="2">
        <v>0.12524936394902289</v>
      </c>
      <c r="J44" s="2">
        <v>0.2244966571108723</v>
      </c>
      <c r="K44" s="2">
        <v>1</v>
      </c>
      <c r="L44" s="2" t="s">
        <v>31</v>
      </c>
    </row>
    <row r="45" spans="1:12" x14ac:dyDescent="0.2">
      <c r="A45" t="s">
        <v>43</v>
      </c>
      <c r="B45" t="s">
        <v>25</v>
      </c>
      <c r="C45" t="s">
        <v>20</v>
      </c>
      <c r="D45" t="s">
        <v>14</v>
      </c>
      <c r="E45" t="s">
        <v>36</v>
      </c>
      <c r="F45" t="s">
        <v>34</v>
      </c>
      <c r="G45" s="2">
        <v>439.77926088214218</v>
      </c>
      <c r="H45" s="5">
        <v>53.692677170646093</v>
      </c>
      <c r="I45" s="2">
        <v>0.1432877597085061</v>
      </c>
      <c r="J45" s="2">
        <v>0.149305682462887</v>
      </c>
      <c r="K45" s="2">
        <v>4.8217599209744231</v>
      </c>
      <c r="L45" s="2" t="s">
        <v>42</v>
      </c>
    </row>
    <row r="46" spans="1:12" x14ac:dyDescent="0.2">
      <c r="A46" t="s">
        <v>43</v>
      </c>
      <c r="B46" t="s">
        <v>19</v>
      </c>
      <c r="C46" t="s">
        <v>13</v>
      </c>
      <c r="D46" t="s">
        <v>14</v>
      </c>
      <c r="E46" t="s">
        <v>33</v>
      </c>
      <c r="F46" t="s">
        <v>22</v>
      </c>
      <c r="G46" s="2">
        <v>204.29560192651451</v>
      </c>
      <c r="H46" s="5">
        <v>55.197655884968469</v>
      </c>
      <c r="I46" s="2">
        <v>3.998517964721119E-2</v>
      </c>
      <c r="J46" s="2">
        <v>0.1528961694381677</v>
      </c>
      <c r="K46" s="2">
        <v>2.391060998990294</v>
      </c>
      <c r="L46" s="2" t="s">
        <v>44</v>
      </c>
    </row>
    <row r="47" spans="1:12" x14ac:dyDescent="0.2">
      <c r="A47" t="s">
        <v>28</v>
      </c>
      <c r="B47" t="s">
        <v>19</v>
      </c>
      <c r="C47" t="s">
        <v>32</v>
      </c>
      <c r="D47" t="s">
        <v>38</v>
      </c>
      <c r="E47" t="s">
        <v>36</v>
      </c>
      <c r="F47" t="s">
        <v>22</v>
      </c>
      <c r="G47" s="2">
        <v>356.03115832105829</v>
      </c>
      <c r="H47" s="5">
        <v>65.636457435546205</v>
      </c>
      <c r="I47" s="2">
        <v>8.3274938207952592E-2</v>
      </c>
      <c r="J47" s="2">
        <v>0.22320499373576361</v>
      </c>
      <c r="K47" s="2">
        <v>6.3393450976600771</v>
      </c>
      <c r="L47" s="2" t="s">
        <v>42</v>
      </c>
    </row>
    <row r="48" spans="1:12" x14ac:dyDescent="0.2">
      <c r="A48" t="s">
        <v>18</v>
      </c>
      <c r="B48" t="s">
        <v>12</v>
      </c>
      <c r="C48" t="s">
        <v>20</v>
      </c>
      <c r="D48" t="s">
        <v>14</v>
      </c>
      <c r="E48" t="s">
        <v>33</v>
      </c>
      <c r="F48" t="s">
        <v>34</v>
      </c>
      <c r="G48" s="2">
        <v>407.87224580804252</v>
      </c>
      <c r="H48" s="5">
        <v>25.260985782438361</v>
      </c>
      <c r="I48" s="2">
        <v>7.62527344419522E-2</v>
      </c>
      <c r="J48" s="2">
        <v>5.5191565850267597E-2</v>
      </c>
      <c r="K48" s="2">
        <v>5.7331964921936969</v>
      </c>
      <c r="L48" s="2" t="s">
        <v>39</v>
      </c>
    </row>
    <row r="49" spans="1:12" x14ac:dyDescent="0.2">
      <c r="A49" t="s">
        <v>24</v>
      </c>
      <c r="B49" t="s">
        <v>25</v>
      </c>
      <c r="C49" t="s">
        <v>40</v>
      </c>
      <c r="D49" t="s">
        <v>38</v>
      </c>
      <c r="E49" t="s">
        <v>15</v>
      </c>
      <c r="F49" t="s">
        <v>22</v>
      </c>
      <c r="G49" s="2">
        <v>711.42444524378311</v>
      </c>
      <c r="H49" s="5">
        <v>23.590867738314468</v>
      </c>
      <c r="I49" s="2">
        <v>6.7333538371314408E-2</v>
      </c>
      <c r="J49" s="2">
        <v>5.9253622562344482E-2</v>
      </c>
      <c r="K49" s="2">
        <v>3.1202404273452902</v>
      </c>
      <c r="L49" s="2" t="s">
        <v>42</v>
      </c>
    </row>
    <row r="50" spans="1:12" x14ac:dyDescent="0.2">
      <c r="A50" t="s">
        <v>24</v>
      </c>
      <c r="B50" t="s">
        <v>25</v>
      </c>
      <c r="C50" t="s">
        <v>20</v>
      </c>
      <c r="D50" t="s">
        <v>14</v>
      </c>
      <c r="E50" t="s">
        <v>36</v>
      </c>
      <c r="F50" t="s">
        <v>30</v>
      </c>
      <c r="G50" s="2">
        <v>568.72365791369225</v>
      </c>
      <c r="H50" s="5">
        <v>60.438831312337953</v>
      </c>
      <c r="I50" s="2">
        <v>0.18827271201405479</v>
      </c>
      <c r="J50" s="2">
        <v>0.1281555778747564</v>
      </c>
      <c r="K50" s="2">
        <v>3.9722661653266131</v>
      </c>
      <c r="L50" s="2" t="s">
        <v>39</v>
      </c>
    </row>
    <row r="51" spans="1:12" x14ac:dyDescent="0.2">
      <c r="A51" t="s">
        <v>24</v>
      </c>
      <c r="B51" t="s">
        <v>25</v>
      </c>
      <c r="C51" t="s">
        <v>40</v>
      </c>
      <c r="D51" t="s">
        <v>21</v>
      </c>
      <c r="E51" t="s">
        <v>15</v>
      </c>
      <c r="F51" t="s">
        <v>22</v>
      </c>
      <c r="G51" s="2">
        <v>147.39196892745321</v>
      </c>
      <c r="H51" s="5">
        <v>55.939693464663719</v>
      </c>
      <c r="I51" s="2">
        <v>0.12024908554804779</v>
      </c>
      <c r="J51" s="2">
        <v>0.17865528482881529</v>
      </c>
      <c r="K51" s="2">
        <v>2.8815729562220969</v>
      </c>
      <c r="L51" s="2" t="s">
        <v>39</v>
      </c>
    </row>
    <row r="52" spans="1:12" x14ac:dyDescent="0.2">
      <c r="A52" t="s">
        <v>43</v>
      </c>
      <c r="B52" t="s">
        <v>25</v>
      </c>
      <c r="C52" t="s">
        <v>20</v>
      </c>
      <c r="D52" t="s">
        <v>26</v>
      </c>
      <c r="E52" t="s">
        <v>33</v>
      </c>
      <c r="F52" t="s">
        <v>30</v>
      </c>
      <c r="G52" s="2">
        <v>564.81679387895906</v>
      </c>
      <c r="H52" s="5">
        <v>55.009857006917528</v>
      </c>
      <c r="I52" s="2">
        <v>3.6955802283247741E-2</v>
      </c>
      <c r="J52" s="2">
        <v>0.23109075655980049</v>
      </c>
      <c r="K52" s="2">
        <v>4.8746418054536562</v>
      </c>
      <c r="L52" s="2" t="s">
        <v>17</v>
      </c>
    </row>
    <row r="53" spans="1:12" x14ac:dyDescent="0.2">
      <c r="A53" t="s">
        <v>43</v>
      </c>
      <c r="B53" t="s">
        <v>12</v>
      </c>
      <c r="C53" t="s">
        <v>20</v>
      </c>
      <c r="D53" t="s">
        <v>21</v>
      </c>
      <c r="E53" t="s">
        <v>29</v>
      </c>
      <c r="F53" t="s">
        <v>30</v>
      </c>
      <c r="G53" s="2">
        <v>422.98354391673672</v>
      </c>
      <c r="H53" s="5">
        <v>56.928964189939506</v>
      </c>
      <c r="I53" s="2">
        <v>0.14589309735273881</v>
      </c>
      <c r="J53" s="2">
        <v>0.34753562169495522</v>
      </c>
      <c r="K53" s="2">
        <v>6.9102846410024767</v>
      </c>
      <c r="L53" s="2" t="s">
        <v>31</v>
      </c>
    </row>
    <row r="54" spans="1:12" x14ac:dyDescent="0.2">
      <c r="A54" t="s">
        <v>18</v>
      </c>
      <c r="B54" t="s">
        <v>12</v>
      </c>
      <c r="C54" t="s">
        <v>20</v>
      </c>
      <c r="D54" t="s">
        <v>26</v>
      </c>
      <c r="E54" t="s">
        <v>29</v>
      </c>
      <c r="F54" t="s">
        <v>30</v>
      </c>
      <c r="G54" s="2">
        <v>364.61559993880832</v>
      </c>
      <c r="H54" s="5">
        <v>36.399505568430193</v>
      </c>
      <c r="I54" s="2">
        <v>0.20610780985063171</v>
      </c>
      <c r="J54" s="2">
        <v>0.28576596232020202</v>
      </c>
      <c r="K54" s="2">
        <v>3.028547907328913</v>
      </c>
      <c r="L54" s="2" t="s">
        <v>35</v>
      </c>
    </row>
    <row r="55" spans="1:12" x14ac:dyDescent="0.2">
      <c r="A55" t="s">
        <v>24</v>
      </c>
      <c r="B55" t="s">
        <v>19</v>
      </c>
      <c r="C55" t="s">
        <v>32</v>
      </c>
      <c r="D55" t="s">
        <v>38</v>
      </c>
      <c r="E55" t="s">
        <v>36</v>
      </c>
      <c r="F55" t="s">
        <v>16</v>
      </c>
      <c r="G55" s="2">
        <v>622.33525776817362</v>
      </c>
      <c r="H55" s="5">
        <v>54.645073943220069</v>
      </c>
      <c r="I55" s="2">
        <v>0.15162326302755741</v>
      </c>
      <c r="J55" s="2">
        <v>0.18400614700365731</v>
      </c>
      <c r="K55" s="2">
        <v>6.0080930310356884</v>
      </c>
      <c r="L55" s="2" t="s">
        <v>42</v>
      </c>
    </row>
    <row r="56" spans="1:12" x14ac:dyDescent="0.2">
      <c r="A56" t="s">
        <v>24</v>
      </c>
      <c r="B56" t="s">
        <v>19</v>
      </c>
      <c r="C56" t="s">
        <v>32</v>
      </c>
      <c r="D56" t="s">
        <v>21</v>
      </c>
      <c r="E56" t="s">
        <v>15</v>
      </c>
      <c r="F56" t="s">
        <v>22</v>
      </c>
      <c r="G56" s="2">
        <v>706.19990449919021</v>
      </c>
      <c r="H56" s="5">
        <v>55.861449465973621</v>
      </c>
      <c r="I56" s="2">
        <v>2.403150170229933E-2</v>
      </c>
      <c r="J56" s="2">
        <v>0.19809837920973111</v>
      </c>
      <c r="K56" s="2">
        <v>3.939484763255118</v>
      </c>
      <c r="L56" s="2" t="s">
        <v>44</v>
      </c>
    </row>
    <row r="57" spans="1:12" x14ac:dyDescent="0.2">
      <c r="A57" t="s">
        <v>28</v>
      </c>
      <c r="B57" t="s">
        <v>19</v>
      </c>
      <c r="C57" t="s">
        <v>13</v>
      </c>
      <c r="D57" t="s">
        <v>14</v>
      </c>
      <c r="E57" t="s">
        <v>15</v>
      </c>
      <c r="F57" t="s">
        <v>34</v>
      </c>
      <c r="G57" s="2">
        <v>686.25602382323973</v>
      </c>
      <c r="H57" s="5">
        <v>35.712971639472642</v>
      </c>
      <c r="I57" s="2">
        <v>7.5788296356687435E-2</v>
      </c>
      <c r="J57" s="2">
        <v>9.9747063536219122E-2</v>
      </c>
      <c r="K57" s="2">
        <v>3.4142543354753121</v>
      </c>
      <c r="L57" s="2" t="s">
        <v>39</v>
      </c>
    </row>
    <row r="58" spans="1:12" x14ac:dyDescent="0.2">
      <c r="A58" t="s">
        <v>43</v>
      </c>
      <c r="B58" t="s">
        <v>19</v>
      </c>
      <c r="C58" t="s">
        <v>13</v>
      </c>
      <c r="D58" t="s">
        <v>26</v>
      </c>
      <c r="E58" t="s">
        <v>36</v>
      </c>
      <c r="F58" t="s">
        <v>34</v>
      </c>
      <c r="G58" s="2">
        <v>332.15649535547232</v>
      </c>
      <c r="H58" s="5">
        <v>87.315490222895136</v>
      </c>
      <c r="I58" s="2">
        <v>0.16334555745933119</v>
      </c>
      <c r="J58" s="2">
        <v>0.198148686400761</v>
      </c>
      <c r="K58" s="2">
        <v>4.7859392800908847</v>
      </c>
      <c r="L58" s="2" t="s">
        <v>31</v>
      </c>
    </row>
    <row r="59" spans="1:12" x14ac:dyDescent="0.2">
      <c r="A59" t="s">
        <v>24</v>
      </c>
      <c r="B59" t="s">
        <v>12</v>
      </c>
      <c r="C59" t="s">
        <v>40</v>
      </c>
      <c r="D59" t="s">
        <v>26</v>
      </c>
      <c r="E59" t="s">
        <v>29</v>
      </c>
      <c r="F59" t="s">
        <v>22</v>
      </c>
      <c r="G59" s="2">
        <v>438.15752482975711</v>
      </c>
      <c r="H59" s="5">
        <v>59.476658418235751</v>
      </c>
      <c r="I59" s="2">
        <v>6.4616526719060957E-2</v>
      </c>
      <c r="J59" s="2">
        <v>0.1711341361079862</v>
      </c>
      <c r="K59" s="2">
        <v>2.9295153551612518</v>
      </c>
      <c r="L59" s="2" t="s">
        <v>23</v>
      </c>
    </row>
    <row r="60" spans="1:12" x14ac:dyDescent="0.2">
      <c r="A60" t="s">
        <v>18</v>
      </c>
      <c r="B60" t="s">
        <v>25</v>
      </c>
      <c r="C60" t="s">
        <v>32</v>
      </c>
      <c r="D60" t="s">
        <v>21</v>
      </c>
      <c r="E60" t="s">
        <v>33</v>
      </c>
      <c r="F60" t="s">
        <v>16</v>
      </c>
      <c r="G60" s="2">
        <v>566.25268628071285</v>
      </c>
      <c r="H60" s="5">
        <v>26.173930055947029</v>
      </c>
      <c r="I60" s="2">
        <v>0.1221909714073114</v>
      </c>
      <c r="J60" s="2">
        <v>0.23227185603380901</v>
      </c>
      <c r="K60" s="2">
        <v>3.8927013893056359</v>
      </c>
      <c r="L60" s="2" t="s">
        <v>27</v>
      </c>
    </row>
    <row r="61" spans="1:12" x14ac:dyDescent="0.2">
      <c r="A61" t="s">
        <v>18</v>
      </c>
      <c r="B61" t="s">
        <v>12</v>
      </c>
      <c r="C61" t="s">
        <v>40</v>
      </c>
      <c r="D61" t="s">
        <v>38</v>
      </c>
      <c r="E61" t="s">
        <v>36</v>
      </c>
      <c r="F61" t="s">
        <v>16</v>
      </c>
      <c r="G61" s="2">
        <v>695.10902542447184</v>
      </c>
      <c r="H61" s="5">
        <v>63.131072172676603</v>
      </c>
      <c r="I61" s="2">
        <v>0.13873170267146681</v>
      </c>
      <c r="J61" s="2">
        <v>0.1172769056447677</v>
      </c>
      <c r="K61" s="2">
        <v>2.6042442148223031</v>
      </c>
      <c r="L61" s="2" t="s">
        <v>17</v>
      </c>
    </row>
    <row r="62" spans="1:12" x14ac:dyDescent="0.2">
      <c r="A62" t="s">
        <v>24</v>
      </c>
      <c r="B62" t="s">
        <v>19</v>
      </c>
      <c r="C62" t="s">
        <v>13</v>
      </c>
      <c r="D62" t="s">
        <v>21</v>
      </c>
      <c r="E62" t="s">
        <v>33</v>
      </c>
      <c r="F62" t="s">
        <v>30</v>
      </c>
      <c r="G62" s="2">
        <v>404.16515243094199</v>
      </c>
      <c r="H62" s="5">
        <v>30.506366595453571</v>
      </c>
      <c r="I62" s="2">
        <v>5.3653476421095858E-2</v>
      </c>
      <c r="J62" s="2">
        <v>0.25193465142411731</v>
      </c>
      <c r="K62" s="2">
        <v>8.929450265832779</v>
      </c>
      <c r="L62" s="2" t="s">
        <v>35</v>
      </c>
    </row>
    <row r="63" spans="1:12" x14ac:dyDescent="0.2">
      <c r="A63" t="s">
        <v>43</v>
      </c>
      <c r="B63" t="s">
        <v>12</v>
      </c>
      <c r="C63" t="s">
        <v>40</v>
      </c>
      <c r="D63" t="s">
        <v>38</v>
      </c>
      <c r="E63" t="s">
        <v>29</v>
      </c>
      <c r="F63" t="s">
        <v>22</v>
      </c>
      <c r="G63" s="2">
        <v>462.86820466723663</v>
      </c>
      <c r="H63" s="5">
        <v>65.741692074849041</v>
      </c>
      <c r="I63" s="2">
        <v>9.7023732196910004E-2</v>
      </c>
      <c r="J63" s="2">
        <v>0.35327389130025783</v>
      </c>
      <c r="K63" s="2">
        <v>5.0705271039434576</v>
      </c>
      <c r="L63" s="2" t="s">
        <v>41</v>
      </c>
    </row>
    <row r="64" spans="1:12" x14ac:dyDescent="0.2">
      <c r="A64" t="s">
        <v>18</v>
      </c>
      <c r="B64" t="s">
        <v>25</v>
      </c>
      <c r="C64" t="s">
        <v>13</v>
      </c>
      <c r="D64" t="s">
        <v>38</v>
      </c>
      <c r="E64" t="s">
        <v>15</v>
      </c>
      <c r="F64" t="s">
        <v>22</v>
      </c>
      <c r="G64" s="2">
        <v>278.73300519879427</v>
      </c>
      <c r="H64" s="5">
        <v>73.171911580148077</v>
      </c>
      <c r="I64" s="2">
        <v>0</v>
      </c>
      <c r="J64" s="2">
        <v>0.18912398515431431</v>
      </c>
      <c r="K64" s="2">
        <v>3.600548984014829</v>
      </c>
      <c r="L64" s="2" t="s">
        <v>17</v>
      </c>
    </row>
    <row r="65" spans="1:12" x14ac:dyDescent="0.2">
      <c r="A65" t="s">
        <v>28</v>
      </c>
      <c r="B65" t="s">
        <v>25</v>
      </c>
      <c r="C65" t="s">
        <v>32</v>
      </c>
      <c r="D65" t="s">
        <v>26</v>
      </c>
      <c r="E65" t="s">
        <v>29</v>
      </c>
      <c r="F65" t="s">
        <v>34</v>
      </c>
      <c r="G65" s="2">
        <v>260.75867518386588</v>
      </c>
      <c r="H65" s="5">
        <v>33.586353632965789</v>
      </c>
      <c r="I65" s="2">
        <v>4.878061793328551E-2</v>
      </c>
      <c r="J65" s="2">
        <v>0.24017117220989409</v>
      </c>
      <c r="K65" s="2">
        <v>5.4279598214684439</v>
      </c>
      <c r="L65" s="2" t="s">
        <v>23</v>
      </c>
    </row>
    <row r="66" spans="1:12" x14ac:dyDescent="0.2">
      <c r="A66" t="s">
        <v>18</v>
      </c>
      <c r="B66" t="s">
        <v>12</v>
      </c>
      <c r="C66" t="s">
        <v>20</v>
      </c>
      <c r="D66" t="s">
        <v>21</v>
      </c>
      <c r="E66" t="s">
        <v>36</v>
      </c>
      <c r="F66" t="s">
        <v>22</v>
      </c>
      <c r="G66" s="2">
        <v>662.50516447883956</v>
      </c>
      <c r="H66" s="5">
        <v>69.267522584886436</v>
      </c>
      <c r="I66" s="2">
        <v>8.7371592430341982E-2</v>
      </c>
      <c r="J66" s="2">
        <v>0.26901439917111131</v>
      </c>
      <c r="K66" s="2">
        <v>4.7753439006183402</v>
      </c>
      <c r="L66" s="2" t="s">
        <v>27</v>
      </c>
    </row>
    <row r="67" spans="1:12" x14ac:dyDescent="0.2">
      <c r="A67" t="s">
        <v>11</v>
      </c>
      <c r="B67" t="s">
        <v>12</v>
      </c>
      <c r="C67" t="s">
        <v>32</v>
      </c>
      <c r="D67" t="s">
        <v>21</v>
      </c>
      <c r="E67" t="s">
        <v>15</v>
      </c>
      <c r="F67" t="s">
        <v>16</v>
      </c>
      <c r="G67" s="2">
        <v>771.24800571416461</v>
      </c>
      <c r="H67" s="5">
        <v>58.255618538729962</v>
      </c>
      <c r="I67" s="2">
        <v>3.7610840901757529E-2</v>
      </c>
      <c r="J67" s="2">
        <v>0.1598779528114164</v>
      </c>
      <c r="K67" s="2">
        <v>4.5580608009335544</v>
      </c>
      <c r="L67" s="2" t="s">
        <v>23</v>
      </c>
    </row>
    <row r="68" spans="1:12" x14ac:dyDescent="0.2">
      <c r="A68" t="s">
        <v>11</v>
      </c>
      <c r="B68" t="s">
        <v>12</v>
      </c>
      <c r="C68" t="s">
        <v>40</v>
      </c>
      <c r="D68" t="s">
        <v>38</v>
      </c>
      <c r="E68" t="s">
        <v>36</v>
      </c>
      <c r="F68" t="s">
        <v>22</v>
      </c>
      <c r="G68" s="2">
        <v>485.59797568393321</v>
      </c>
      <c r="H68" s="5">
        <v>66.441203199889799</v>
      </c>
      <c r="I68" s="2">
        <v>0.18162056519658179</v>
      </c>
      <c r="J68" s="2">
        <v>0.22240924818104171</v>
      </c>
      <c r="K68" s="2">
        <v>6.22833340008685</v>
      </c>
      <c r="L68" s="2" t="s">
        <v>42</v>
      </c>
    </row>
    <row r="69" spans="1:12" x14ac:dyDescent="0.2">
      <c r="A69" t="s">
        <v>43</v>
      </c>
      <c r="B69" t="s">
        <v>19</v>
      </c>
      <c r="C69" t="s">
        <v>40</v>
      </c>
      <c r="D69" t="s">
        <v>21</v>
      </c>
      <c r="E69" t="s">
        <v>36</v>
      </c>
      <c r="F69" t="s">
        <v>34</v>
      </c>
      <c r="G69" s="2">
        <v>700.7065795784049</v>
      </c>
      <c r="H69" s="5">
        <v>87.93585965307895</v>
      </c>
      <c r="I69" s="2">
        <v>2.849293110196836E-2</v>
      </c>
      <c r="J69" s="2">
        <v>0.2012592400781795</v>
      </c>
      <c r="K69" s="2">
        <v>6.5150154200946098</v>
      </c>
      <c r="L69" s="2" t="s">
        <v>39</v>
      </c>
    </row>
    <row r="70" spans="1:12" x14ac:dyDescent="0.2">
      <c r="A70" t="s">
        <v>24</v>
      </c>
      <c r="B70" t="s">
        <v>12</v>
      </c>
      <c r="C70" t="s">
        <v>32</v>
      </c>
      <c r="D70" t="s">
        <v>14</v>
      </c>
      <c r="E70" t="s">
        <v>29</v>
      </c>
      <c r="F70" t="s">
        <v>30</v>
      </c>
      <c r="G70" s="2">
        <v>572.32720500952678</v>
      </c>
      <c r="H70" s="5">
        <v>45.092237679942592</v>
      </c>
      <c r="I70" s="2">
        <v>7.7997775665150815E-2</v>
      </c>
      <c r="J70" s="2">
        <v>0.20976760985488321</v>
      </c>
      <c r="K70" s="2">
        <v>3.9389977047789451</v>
      </c>
      <c r="L70" s="2" t="s">
        <v>35</v>
      </c>
    </row>
    <row r="71" spans="1:12" x14ac:dyDescent="0.2">
      <c r="A71" t="s">
        <v>43</v>
      </c>
      <c r="B71" t="s">
        <v>12</v>
      </c>
      <c r="C71" t="s">
        <v>32</v>
      </c>
      <c r="D71" t="s">
        <v>14</v>
      </c>
      <c r="E71" t="s">
        <v>36</v>
      </c>
      <c r="F71" t="s">
        <v>34</v>
      </c>
      <c r="G71" s="2">
        <v>370.97604907897522</v>
      </c>
      <c r="H71" s="5">
        <v>34.925276712850213</v>
      </c>
      <c r="I71" s="2">
        <v>0.10653702886430461</v>
      </c>
      <c r="J71" s="2">
        <v>0.1226990216144534</v>
      </c>
      <c r="K71" s="2">
        <v>3.8483635187106402</v>
      </c>
      <c r="L71" s="2" t="s">
        <v>37</v>
      </c>
    </row>
    <row r="72" spans="1:12" x14ac:dyDescent="0.2">
      <c r="A72" t="s">
        <v>43</v>
      </c>
      <c r="B72" t="s">
        <v>12</v>
      </c>
      <c r="C72" t="s">
        <v>13</v>
      </c>
      <c r="D72" t="s">
        <v>21</v>
      </c>
      <c r="E72" t="s">
        <v>29</v>
      </c>
      <c r="F72" t="s">
        <v>34</v>
      </c>
      <c r="G72" s="2">
        <v>572.27912110168279</v>
      </c>
      <c r="H72" s="5">
        <v>32.209711407489543</v>
      </c>
      <c r="I72" s="2">
        <v>0.17206366445330579</v>
      </c>
      <c r="J72" s="2">
        <v>0.2024510174258943</v>
      </c>
      <c r="K72" s="2">
        <v>4.4498966056967122</v>
      </c>
      <c r="L72" s="2" t="s">
        <v>39</v>
      </c>
    </row>
    <row r="73" spans="1:12" x14ac:dyDescent="0.2">
      <c r="A73" t="s">
        <v>43</v>
      </c>
      <c r="B73" t="s">
        <v>25</v>
      </c>
      <c r="C73" t="s">
        <v>40</v>
      </c>
      <c r="D73" t="s">
        <v>21</v>
      </c>
      <c r="E73" t="s">
        <v>15</v>
      </c>
      <c r="F73" t="s">
        <v>30</v>
      </c>
      <c r="G73" s="2">
        <v>807.60731329319378</v>
      </c>
      <c r="H73" s="5">
        <v>33.683794300691233</v>
      </c>
      <c r="I73" s="2">
        <v>2.8206892441028031E-2</v>
      </c>
      <c r="J73" s="2">
        <v>0.24979982912454499</v>
      </c>
      <c r="K73" s="2">
        <v>1</v>
      </c>
      <c r="L73" s="2" t="s">
        <v>37</v>
      </c>
    </row>
    <row r="74" spans="1:12" x14ac:dyDescent="0.2">
      <c r="A74" t="s">
        <v>43</v>
      </c>
      <c r="B74" t="s">
        <v>25</v>
      </c>
      <c r="C74" t="s">
        <v>40</v>
      </c>
      <c r="D74" t="s">
        <v>38</v>
      </c>
      <c r="E74" t="s">
        <v>29</v>
      </c>
      <c r="F74" t="s">
        <v>34</v>
      </c>
      <c r="G74" s="2">
        <v>492.83479217800971</v>
      </c>
      <c r="H74" s="5">
        <v>48.457965811717919</v>
      </c>
      <c r="I74" s="2">
        <v>0.158158187607748</v>
      </c>
      <c r="J74" s="2">
        <v>0.34511436077950419</v>
      </c>
      <c r="K74" s="2">
        <v>1.969617875602895</v>
      </c>
      <c r="L74" s="2" t="s">
        <v>27</v>
      </c>
    </row>
    <row r="75" spans="1:12" x14ac:dyDescent="0.2">
      <c r="A75" t="s">
        <v>28</v>
      </c>
      <c r="B75" t="s">
        <v>19</v>
      </c>
      <c r="C75" t="s">
        <v>32</v>
      </c>
      <c r="D75" t="s">
        <v>14</v>
      </c>
      <c r="E75" t="s">
        <v>15</v>
      </c>
      <c r="F75" t="s">
        <v>34</v>
      </c>
      <c r="G75" s="2">
        <v>812.92873116280123</v>
      </c>
      <c r="H75" s="5">
        <v>56.823039496332868</v>
      </c>
      <c r="I75" s="2">
        <v>0.10051165305097939</v>
      </c>
      <c r="J75" s="2">
        <v>0.29592708260852069</v>
      </c>
      <c r="K75" s="2">
        <v>7.7337485348890489</v>
      </c>
      <c r="L75" s="2" t="s">
        <v>31</v>
      </c>
    </row>
    <row r="76" spans="1:12" x14ac:dyDescent="0.2">
      <c r="A76" t="s">
        <v>28</v>
      </c>
      <c r="B76" t="s">
        <v>19</v>
      </c>
      <c r="C76" t="s">
        <v>20</v>
      </c>
      <c r="D76" t="s">
        <v>14</v>
      </c>
      <c r="E76" t="s">
        <v>29</v>
      </c>
      <c r="F76" t="s">
        <v>22</v>
      </c>
      <c r="G76" s="2">
        <v>0</v>
      </c>
      <c r="H76" s="5">
        <v>55.533815986600381</v>
      </c>
      <c r="I76" s="2">
        <v>5.0924567447602459E-2</v>
      </c>
      <c r="J76" s="2">
        <v>0.41531824575115572</v>
      </c>
      <c r="K76" s="2">
        <v>8.2899354270025682</v>
      </c>
      <c r="L76" s="2" t="s">
        <v>41</v>
      </c>
    </row>
    <row r="77" spans="1:12" x14ac:dyDescent="0.2">
      <c r="A77" t="s">
        <v>18</v>
      </c>
      <c r="B77" t="s">
        <v>25</v>
      </c>
      <c r="C77" t="s">
        <v>40</v>
      </c>
      <c r="D77" t="s">
        <v>26</v>
      </c>
      <c r="E77" t="s">
        <v>33</v>
      </c>
      <c r="F77" t="s">
        <v>22</v>
      </c>
      <c r="G77" s="2">
        <v>664.38050087504473</v>
      </c>
      <c r="H77" s="5">
        <v>66.543664980720479</v>
      </c>
      <c r="I77" s="2">
        <v>0.1231051737131635</v>
      </c>
      <c r="J77" s="2">
        <v>0.1232652437111951</v>
      </c>
      <c r="K77" s="2">
        <v>4.5019279208872431</v>
      </c>
      <c r="L77" s="2" t="s">
        <v>44</v>
      </c>
    </row>
    <row r="78" spans="1:12" x14ac:dyDescent="0.2">
      <c r="A78" t="s">
        <v>11</v>
      </c>
      <c r="B78" t="s">
        <v>25</v>
      </c>
      <c r="C78" t="s">
        <v>20</v>
      </c>
      <c r="D78" t="s">
        <v>38</v>
      </c>
      <c r="E78" t="s">
        <v>33</v>
      </c>
      <c r="F78" t="s">
        <v>30</v>
      </c>
      <c r="G78" s="2">
        <v>517.40941364763421</v>
      </c>
      <c r="H78" s="5">
        <v>50.260037837558137</v>
      </c>
      <c r="I78" s="2">
        <v>0.1099529847786735</v>
      </c>
      <c r="J78" s="2">
        <v>0.28723206367206783</v>
      </c>
      <c r="K78" s="2">
        <v>6.1531139261115326</v>
      </c>
      <c r="L78" s="2" t="s">
        <v>39</v>
      </c>
    </row>
    <row r="79" spans="1:12" x14ac:dyDescent="0.2">
      <c r="A79" t="s">
        <v>43</v>
      </c>
      <c r="B79" t="s">
        <v>25</v>
      </c>
      <c r="C79" t="s">
        <v>32</v>
      </c>
      <c r="D79" t="s">
        <v>26</v>
      </c>
      <c r="E79" t="s">
        <v>36</v>
      </c>
      <c r="F79" t="s">
        <v>22</v>
      </c>
      <c r="G79" s="2">
        <v>440.19852990682648</v>
      </c>
      <c r="H79" s="5">
        <v>79.070681543146335</v>
      </c>
      <c r="I79" s="2">
        <v>6.9989156142060277E-2</v>
      </c>
      <c r="J79" s="2">
        <v>0.21833420057383521</v>
      </c>
      <c r="K79" s="2">
        <v>5.622500309087072</v>
      </c>
      <c r="L79" s="2" t="s">
        <v>35</v>
      </c>
    </row>
    <row r="80" spans="1:12" x14ac:dyDescent="0.2">
      <c r="A80" t="s">
        <v>18</v>
      </c>
      <c r="B80" t="s">
        <v>12</v>
      </c>
      <c r="C80" t="s">
        <v>32</v>
      </c>
      <c r="D80" t="s">
        <v>14</v>
      </c>
      <c r="E80" t="s">
        <v>29</v>
      </c>
      <c r="F80" t="s">
        <v>22</v>
      </c>
      <c r="G80" s="2">
        <v>518.35215530710047</v>
      </c>
      <c r="H80" s="5">
        <v>44.706863335240882</v>
      </c>
      <c r="I80" s="2">
        <v>0.10349010424950091</v>
      </c>
      <c r="J80" s="2">
        <v>0.41898029332176723</v>
      </c>
      <c r="K80" s="2">
        <v>11.157761616910481</v>
      </c>
      <c r="L80" s="2" t="s">
        <v>23</v>
      </c>
    </row>
    <row r="81" spans="1:12" x14ac:dyDescent="0.2">
      <c r="A81" t="s">
        <v>11</v>
      </c>
      <c r="B81" t="s">
        <v>12</v>
      </c>
      <c r="C81" t="s">
        <v>13</v>
      </c>
      <c r="D81" t="s">
        <v>38</v>
      </c>
      <c r="E81" t="s">
        <v>29</v>
      </c>
      <c r="F81" t="s">
        <v>34</v>
      </c>
      <c r="G81" s="2">
        <v>102.4862170798214</v>
      </c>
      <c r="H81" s="5">
        <v>104.4033833317924</v>
      </c>
      <c r="I81" s="2">
        <v>8.0734320156911996E-2</v>
      </c>
      <c r="J81" s="2">
        <v>0.1191701714644849</v>
      </c>
      <c r="K81" s="2">
        <v>7.2391498228691544</v>
      </c>
      <c r="L81" s="2" t="s">
        <v>35</v>
      </c>
    </row>
    <row r="82" spans="1:12" x14ac:dyDescent="0.2">
      <c r="A82" t="s">
        <v>24</v>
      </c>
      <c r="B82" t="s">
        <v>25</v>
      </c>
      <c r="C82" t="s">
        <v>40</v>
      </c>
      <c r="D82" t="s">
        <v>21</v>
      </c>
      <c r="E82" t="s">
        <v>15</v>
      </c>
      <c r="F82" t="s">
        <v>16</v>
      </c>
      <c r="G82" s="2">
        <v>456.06562243249761</v>
      </c>
      <c r="H82" s="5">
        <v>62.513346955300122</v>
      </c>
      <c r="I82" s="2">
        <v>0.1056758672625624</v>
      </c>
      <c r="J82" s="2">
        <v>0.11602781578192239</v>
      </c>
      <c r="K82" s="2">
        <v>4.7441648170384667</v>
      </c>
      <c r="L82" s="2" t="s">
        <v>27</v>
      </c>
    </row>
    <row r="83" spans="1:12" x14ac:dyDescent="0.2">
      <c r="A83" t="s">
        <v>28</v>
      </c>
      <c r="B83" t="s">
        <v>12</v>
      </c>
      <c r="C83" t="s">
        <v>20</v>
      </c>
      <c r="D83" t="s">
        <v>38</v>
      </c>
      <c r="E83" t="s">
        <v>36</v>
      </c>
      <c r="F83" t="s">
        <v>22</v>
      </c>
      <c r="G83" s="2">
        <v>571.42251430234933</v>
      </c>
      <c r="H83" s="5">
        <v>32.856848871674337</v>
      </c>
      <c r="I83" s="2">
        <v>0.13310653372605241</v>
      </c>
      <c r="J83" s="2">
        <v>0.1400607354555978</v>
      </c>
      <c r="K83" s="2">
        <v>3.088919118799148</v>
      </c>
      <c r="L83" s="2" t="s">
        <v>37</v>
      </c>
    </row>
    <row r="84" spans="1:12" x14ac:dyDescent="0.2">
      <c r="A84" t="s">
        <v>11</v>
      </c>
      <c r="B84" t="s">
        <v>12</v>
      </c>
      <c r="C84" t="s">
        <v>13</v>
      </c>
      <c r="D84" t="s">
        <v>21</v>
      </c>
      <c r="E84" t="s">
        <v>29</v>
      </c>
      <c r="F84" t="s">
        <v>16</v>
      </c>
      <c r="G84" s="2">
        <v>795.57880894830328</v>
      </c>
      <c r="H84" s="5">
        <v>28.582150038777751</v>
      </c>
      <c r="I84" s="2">
        <v>0.1793008408072676</v>
      </c>
      <c r="J84" s="2">
        <v>0</v>
      </c>
      <c r="K84" s="2">
        <v>1.787107359484855</v>
      </c>
      <c r="L84" s="2" t="s">
        <v>23</v>
      </c>
    </row>
    <row r="85" spans="1:12" x14ac:dyDescent="0.2">
      <c r="A85" t="s">
        <v>24</v>
      </c>
      <c r="B85" t="s">
        <v>19</v>
      </c>
      <c r="C85" t="s">
        <v>40</v>
      </c>
      <c r="D85" t="s">
        <v>21</v>
      </c>
      <c r="E85" t="s">
        <v>36</v>
      </c>
      <c r="F85" t="s">
        <v>22</v>
      </c>
      <c r="G85" s="2">
        <v>396.34595634527051</v>
      </c>
      <c r="H85" s="5">
        <v>59.649448304863697</v>
      </c>
      <c r="I85" s="2">
        <v>3.8109225058657548E-2</v>
      </c>
      <c r="J85" s="2">
        <v>0.14742449783192391</v>
      </c>
      <c r="K85" s="2">
        <v>5.4069272717344461</v>
      </c>
      <c r="L85" s="2" t="s">
        <v>44</v>
      </c>
    </row>
    <row r="86" spans="1:12" x14ac:dyDescent="0.2">
      <c r="A86" t="s">
        <v>11</v>
      </c>
      <c r="B86" t="s">
        <v>25</v>
      </c>
      <c r="C86" t="s">
        <v>13</v>
      </c>
      <c r="D86" t="s">
        <v>38</v>
      </c>
      <c r="E86" t="s">
        <v>33</v>
      </c>
      <c r="F86" t="s">
        <v>22</v>
      </c>
      <c r="G86" s="2">
        <v>338.30127942136238</v>
      </c>
      <c r="H86" s="5">
        <v>45.530744293482982</v>
      </c>
      <c r="I86" s="2">
        <v>0.20665166873281329</v>
      </c>
      <c r="J86" s="2">
        <v>0.1240867338446302</v>
      </c>
      <c r="K86" s="2">
        <v>3.4872985094313931</v>
      </c>
      <c r="L86" s="2" t="s">
        <v>44</v>
      </c>
    </row>
    <row r="87" spans="1:12" x14ac:dyDescent="0.2">
      <c r="A87" t="s">
        <v>28</v>
      </c>
      <c r="B87" t="s">
        <v>25</v>
      </c>
      <c r="C87" t="s">
        <v>32</v>
      </c>
      <c r="D87" t="s">
        <v>21</v>
      </c>
      <c r="E87" t="s">
        <v>29</v>
      </c>
      <c r="F87" t="s">
        <v>30</v>
      </c>
      <c r="G87" s="2">
        <v>399.64859128309268</v>
      </c>
      <c r="H87" s="5">
        <v>64.280009881841835</v>
      </c>
      <c r="I87" s="2">
        <v>2.395610023874908E-3</v>
      </c>
      <c r="J87" s="2">
        <v>0.21503937864762079</v>
      </c>
      <c r="K87" s="2">
        <v>2.1554925808046521</v>
      </c>
      <c r="L87" s="2" t="s">
        <v>39</v>
      </c>
    </row>
    <row r="88" spans="1:12" x14ac:dyDescent="0.2">
      <c r="A88" t="s">
        <v>28</v>
      </c>
      <c r="B88" t="s">
        <v>12</v>
      </c>
      <c r="C88" t="s">
        <v>40</v>
      </c>
      <c r="D88" t="s">
        <v>26</v>
      </c>
      <c r="E88" t="s">
        <v>29</v>
      </c>
      <c r="F88" t="s">
        <v>30</v>
      </c>
      <c r="G88" s="2">
        <v>683.08042354041481</v>
      </c>
      <c r="H88" s="5">
        <v>59.464752491470897</v>
      </c>
      <c r="I88" s="2">
        <v>9.2410745248220835E-2</v>
      </c>
      <c r="J88" s="2">
        <v>0.23417559757771589</v>
      </c>
      <c r="K88" s="2">
        <v>3.7068542315149471</v>
      </c>
      <c r="L88" s="2" t="s">
        <v>27</v>
      </c>
    </row>
    <row r="89" spans="1:12" x14ac:dyDescent="0.2">
      <c r="A89" t="s">
        <v>18</v>
      </c>
      <c r="B89" t="s">
        <v>25</v>
      </c>
      <c r="C89" t="s">
        <v>13</v>
      </c>
      <c r="D89" t="s">
        <v>14</v>
      </c>
      <c r="E89" t="s">
        <v>36</v>
      </c>
      <c r="F89" t="s">
        <v>30</v>
      </c>
      <c r="G89" s="2">
        <v>565.75022193193695</v>
      </c>
      <c r="H89" s="5">
        <v>48.543421746862542</v>
      </c>
      <c r="I89" s="2">
        <v>0.1294158603242288</v>
      </c>
      <c r="J89" s="2">
        <v>0.38761708392158872</v>
      </c>
      <c r="K89" s="2">
        <v>2.8369039927712101</v>
      </c>
      <c r="L89" s="2" t="s">
        <v>31</v>
      </c>
    </row>
    <row r="90" spans="1:12" x14ac:dyDescent="0.2">
      <c r="A90" t="s">
        <v>43</v>
      </c>
      <c r="B90" t="s">
        <v>19</v>
      </c>
      <c r="C90" t="s">
        <v>13</v>
      </c>
      <c r="D90" t="s">
        <v>21</v>
      </c>
      <c r="E90" t="s">
        <v>29</v>
      </c>
      <c r="F90" t="s">
        <v>16</v>
      </c>
      <c r="G90" s="2">
        <v>394.04795924659231</v>
      </c>
      <c r="H90" s="5">
        <v>33.0641256386319</v>
      </c>
      <c r="I90" s="2">
        <v>0.11404959338675159</v>
      </c>
      <c r="J90" s="2">
        <v>0.29504238381860498</v>
      </c>
      <c r="K90" s="2">
        <v>8.3742832701451295</v>
      </c>
      <c r="L90" s="2" t="s">
        <v>27</v>
      </c>
    </row>
    <row r="91" spans="1:12" x14ac:dyDescent="0.2">
      <c r="A91" t="s">
        <v>11</v>
      </c>
      <c r="B91" t="s">
        <v>19</v>
      </c>
      <c r="C91" t="s">
        <v>20</v>
      </c>
      <c r="D91" t="s">
        <v>26</v>
      </c>
      <c r="E91" t="s">
        <v>36</v>
      </c>
      <c r="F91" t="s">
        <v>34</v>
      </c>
      <c r="G91" s="2">
        <v>602.65348662267127</v>
      </c>
      <c r="H91" s="5">
        <v>19.703055506282709</v>
      </c>
      <c r="I91" s="2">
        <v>6.8865024008970321E-2</v>
      </c>
      <c r="J91" s="2">
        <v>0.14230963443375971</v>
      </c>
      <c r="K91" s="2">
        <v>6.763279513898901</v>
      </c>
      <c r="L91" s="2" t="s">
        <v>37</v>
      </c>
    </row>
    <row r="92" spans="1:12" x14ac:dyDescent="0.2">
      <c r="A92" t="s">
        <v>11</v>
      </c>
      <c r="B92" t="s">
        <v>19</v>
      </c>
      <c r="C92" t="s">
        <v>13</v>
      </c>
      <c r="D92" t="s">
        <v>21</v>
      </c>
      <c r="E92" t="s">
        <v>29</v>
      </c>
      <c r="F92" t="s">
        <v>22</v>
      </c>
      <c r="G92" s="2">
        <v>519.41550986960806</v>
      </c>
      <c r="H92" s="5">
        <v>41.069700958659581</v>
      </c>
      <c r="I92" s="2">
        <v>8.9593887482136245E-2</v>
      </c>
      <c r="J92" s="2">
        <v>0.11015853286516419</v>
      </c>
      <c r="K92" s="2">
        <v>4.9840547173667664</v>
      </c>
      <c r="L92" s="2" t="s">
        <v>35</v>
      </c>
    </row>
    <row r="93" spans="1:12" x14ac:dyDescent="0.2">
      <c r="A93" t="s">
        <v>24</v>
      </c>
      <c r="B93" t="s">
        <v>25</v>
      </c>
      <c r="C93" t="s">
        <v>40</v>
      </c>
      <c r="D93" t="s">
        <v>14</v>
      </c>
      <c r="E93" t="s">
        <v>15</v>
      </c>
      <c r="F93" t="s">
        <v>22</v>
      </c>
      <c r="G93" s="2">
        <v>693.72899810657782</v>
      </c>
      <c r="H93" s="5">
        <v>67.127975886469443</v>
      </c>
      <c r="I93" s="2">
        <v>7.5349953267058359E-2</v>
      </c>
      <c r="J93" s="2">
        <v>0.24919191715065059</v>
      </c>
      <c r="K93" s="2">
        <v>7.9598882777800517</v>
      </c>
      <c r="L93" s="2" t="s">
        <v>44</v>
      </c>
    </row>
    <row r="94" spans="1:12" x14ac:dyDescent="0.2">
      <c r="A94" t="s">
        <v>28</v>
      </c>
      <c r="B94" t="s">
        <v>25</v>
      </c>
      <c r="C94" t="s">
        <v>40</v>
      </c>
      <c r="D94" t="s">
        <v>26</v>
      </c>
      <c r="E94" t="s">
        <v>36</v>
      </c>
      <c r="F94" t="s">
        <v>22</v>
      </c>
      <c r="G94" s="2">
        <v>359.58938122452952</v>
      </c>
      <c r="H94" s="5">
        <v>54.281874882604079</v>
      </c>
      <c r="I94" s="2">
        <v>7.0531762152789432E-2</v>
      </c>
      <c r="J94" s="2">
        <v>6.7976679297935799E-2</v>
      </c>
      <c r="K94" s="2">
        <v>5.1547366152952367</v>
      </c>
      <c r="L94" s="2" t="s">
        <v>35</v>
      </c>
    </row>
    <row r="95" spans="1:12" x14ac:dyDescent="0.2">
      <c r="A95" t="s">
        <v>11</v>
      </c>
      <c r="B95" t="s">
        <v>25</v>
      </c>
      <c r="C95" t="s">
        <v>20</v>
      </c>
      <c r="D95" t="s">
        <v>14</v>
      </c>
      <c r="E95" t="s">
        <v>29</v>
      </c>
      <c r="F95" t="s">
        <v>16</v>
      </c>
      <c r="G95" s="2">
        <v>434.46757068044627</v>
      </c>
      <c r="H95" s="5">
        <v>25.085224425760241</v>
      </c>
      <c r="I95" s="2">
        <v>0.1424801048510512</v>
      </c>
      <c r="J95" s="2">
        <v>0.38314587658543542</v>
      </c>
      <c r="K95" s="2">
        <v>3.277431597343472</v>
      </c>
      <c r="L95" s="2" t="s">
        <v>35</v>
      </c>
    </row>
    <row r="96" spans="1:12" x14ac:dyDescent="0.2">
      <c r="A96" t="s">
        <v>28</v>
      </c>
      <c r="B96" t="s">
        <v>25</v>
      </c>
      <c r="C96" t="s">
        <v>40</v>
      </c>
      <c r="D96" t="s">
        <v>14</v>
      </c>
      <c r="E96" t="s">
        <v>33</v>
      </c>
      <c r="F96" t="s">
        <v>30</v>
      </c>
      <c r="G96" s="2">
        <v>421.57836937356848</v>
      </c>
      <c r="H96" s="5">
        <v>53.46361851702364</v>
      </c>
      <c r="I96" s="2">
        <v>0.1178507742982524</v>
      </c>
      <c r="J96" s="2">
        <v>0.31794401207212869</v>
      </c>
      <c r="K96" s="2">
        <v>8.046248154539315</v>
      </c>
      <c r="L96" s="2" t="s">
        <v>35</v>
      </c>
    </row>
    <row r="97" spans="1:12" x14ac:dyDescent="0.2">
      <c r="A97" t="s">
        <v>11</v>
      </c>
      <c r="B97" t="s">
        <v>25</v>
      </c>
      <c r="C97" t="s">
        <v>32</v>
      </c>
      <c r="D97" t="s">
        <v>26</v>
      </c>
      <c r="E97" t="s">
        <v>29</v>
      </c>
      <c r="F97" t="s">
        <v>34</v>
      </c>
      <c r="G97" s="2">
        <v>207.29701037357631</v>
      </c>
      <c r="H97" s="5">
        <v>57.706347594576727</v>
      </c>
      <c r="I97" s="2">
        <v>6.5354520236967292E-2</v>
      </c>
      <c r="J97" s="2">
        <v>0.15308243478952949</v>
      </c>
      <c r="K97" s="2">
        <v>6.0778200873693171</v>
      </c>
      <c r="L97" s="2" t="s">
        <v>44</v>
      </c>
    </row>
    <row r="98" spans="1:12" x14ac:dyDescent="0.2">
      <c r="A98" t="s">
        <v>18</v>
      </c>
      <c r="B98" t="s">
        <v>19</v>
      </c>
      <c r="C98" t="s">
        <v>40</v>
      </c>
      <c r="D98" t="s">
        <v>26</v>
      </c>
      <c r="E98" t="s">
        <v>33</v>
      </c>
      <c r="F98" t="s">
        <v>16</v>
      </c>
      <c r="G98" s="2">
        <v>559.22405541291516</v>
      </c>
      <c r="H98" s="5">
        <v>32.322851275977342</v>
      </c>
      <c r="I98" s="2">
        <v>0.14497999377166251</v>
      </c>
      <c r="J98" s="2">
        <v>2.868654709091226E-2</v>
      </c>
      <c r="K98" s="2">
        <v>2.9255076913470872</v>
      </c>
      <c r="L98" s="2" t="s">
        <v>17</v>
      </c>
    </row>
    <row r="99" spans="1:12" x14ac:dyDescent="0.2">
      <c r="A99" t="s">
        <v>43</v>
      </c>
      <c r="B99" t="s">
        <v>12</v>
      </c>
      <c r="C99" t="s">
        <v>40</v>
      </c>
      <c r="D99" t="s">
        <v>26</v>
      </c>
      <c r="E99" t="s">
        <v>33</v>
      </c>
      <c r="F99" t="s">
        <v>30</v>
      </c>
      <c r="G99" s="2">
        <v>552.21105443597787</v>
      </c>
      <c r="H99" s="5">
        <v>53.074502118910559</v>
      </c>
      <c r="I99" s="2">
        <v>0.1153649760438305</v>
      </c>
      <c r="J99" s="2">
        <v>0.33538723741654131</v>
      </c>
      <c r="K99" s="2">
        <v>4.6193226438327839</v>
      </c>
      <c r="L99" s="2" t="s">
        <v>42</v>
      </c>
    </row>
    <row r="100" spans="1:12" x14ac:dyDescent="0.2">
      <c r="A100" t="s">
        <v>11</v>
      </c>
      <c r="B100" t="s">
        <v>19</v>
      </c>
      <c r="C100" t="s">
        <v>13</v>
      </c>
      <c r="D100" t="s">
        <v>38</v>
      </c>
      <c r="E100" t="s">
        <v>15</v>
      </c>
      <c r="F100" t="s">
        <v>16</v>
      </c>
      <c r="G100" s="2">
        <v>501.02269132849221</v>
      </c>
      <c r="H100" s="5">
        <v>51.164174368920001</v>
      </c>
      <c r="I100" s="2">
        <v>0.14064310594194801</v>
      </c>
      <c r="J100" s="2">
        <v>0.1885460154747382</v>
      </c>
      <c r="K100" s="2">
        <v>3.2487634932304861</v>
      </c>
      <c r="L100" s="2" t="s">
        <v>37</v>
      </c>
    </row>
    <row r="101" spans="1:12" x14ac:dyDescent="0.2">
      <c r="A101" t="s">
        <v>28</v>
      </c>
      <c r="B101" t="s">
        <v>25</v>
      </c>
      <c r="C101" t="s">
        <v>13</v>
      </c>
      <c r="D101" t="s">
        <v>26</v>
      </c>
      <c r="E101" t="s">
        <v>36</v>
      </c>
      <c r="F101" t="s">
        <v>34</v>
      </c>
      <c r="G101" s="2">
        <v>453.08257332497061</v>
      </c>
      <c r="H101" s="5">
        <v>27.140594043387541</v>
      </c>
      <c r="I101" s="2">
        <v>0.1314814420961806</v>
      </c>
      <c r="J101" s="2">
        <v>0.32378163119734621</v>
      </c>
      <c r="K101" s="2">
        <v>2.2344005380713279</v>
      </c>
      <c r="L10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979C-EBED-7A4A-9C22-92FA89634154}">
  <dimension ref="A1:I10"/>
  <sheetViews>
    <sheetView tabSelected="1" zoomScale="156" workbookViewId="0">
      <selection activeCell="A11" sqref="A11"/>
    </sheetView>
  </sheetViews>
  <sheetFormatPr baseColWidth="10" defaultRowHeight="16" x14ac:dyDescent="0.2"/>
  <cols>
    <col min="1" max="1" width="23.1640625" bestFit="1" customWidth="1"/>
    <col min="2" max="2" width="15.5" bestFit="1" customWidth="1"/>
    <col min="3" max="3" width="9.33203125" bestFit="1" customWidth="1"/>
    <col min="4" max="4" width="10" bestFit="1" customWidth="1"/>
    <col min="5" max="5" width="10.83203125" bestFit="1" customWidth="1"/>
    <col min="6" max="15" width="23.1640625" bestFit="1" customWidth="1"/>
    <col min="16" max="16" width="26.83203125" bestFit="1" customWidth="1"/>
    <col min="17" max="17" width="27.6640625" bestFit="1" customWidth="1"/>
    <col min="18" max="18" width="28" bestFit="1" customWidth="1"/>
    <col min="19" max="19" width="27.33203125" bestFit="1" customWidth="1"/>
    <col min="20" max="20" width="28" bestFit="1" customWidth="1"/>
  </cols>
  <sheetData>
    <row r="1" spans="1:9" ht="21" x14ac:dyDescent="0.25">
      <c r="A1" s="4" t="s">
        <v>45</v>
      </c>
    </row>
    <row r="2" spans="1:9" x14ac:dyDescent="0.2">
      <c r="A2" s="11" t="s">
        <v>57</v>
      </c>
      <c r="B2" s="11"/>
      <c r="C2" s="11"/>
      <c r="D2" s="11"/>
      <c r="E2" s="11"/>
      <c r="F2" s="11"/>
      <c r="G2" s="11"/>
      <c r="H2" s="11"/>
      <c r="I2" s="11"/>
    </row>
    <row r="4" spans="1:9" x14ac:dyDescent="0.2">
      <c r="B4" s="6" t="s">
        <v>54</v>
      </c>
    </row>
    <row r="5" spans="1:9" x14ac:dyDescent="0.2">
      <c r="A5" s="6" t="s">
        <v>55</v>
      </c>
      <c r="B5" t="s">
        <v>19</v>
      </c>
      <c r="C5" t="s">
        <v>12</v>
      </c>
      <c r="D5" t="s">
        <v>25</v>
      </c>
      <c r="E5" t="s">
        <v>48</v>
      </c>
    </row>
    <row r="6" spans="1:9" x14ac:dyDescent="0.2">
      <c r="A6" s="8" t="s">
        <v>52</v>
      </c>
      <c r="B6" s="9">
        <v>9.0666333722392384E-2</v>
      </c>
      <c r="C6" s="9">
        <v>0.11455298541604149</v>
      </c>
      <c r="D6" s="9">
        <v>0.10594744390913494</v>
      </c>
      <c r="E6" s="9">
        <v>0.10387801761838585</v>
      </c>
    </row>
    <row r="7" spans="1:9" x14ac:dyDescent="0.2">
      <c r="A7" s="8" t="s">
        <v>53</v>
      </c>
      <c r="B7" s="9">
        <v>0.19926491357816903</v>
      </c>
      <c r="C7" s="9">
        <v>0.20036449906908774</v>
      </c>
      <c r="D7" s="9">
        <v>0.22874418387734394</v>
      </c>
      <c r="E7" s="9">
        <v>0.21080790779404027</v>
      </c>
    </row>
    <row r="9" spans="1:9" ht="21" x14ac:dyDescent="0.25">
      <c r="A9" s="12" t="s">
        <v>60</v>
      </c>
      <c r="B9" s="13"/>
      <c r="C9" s="13"/>
      <c r="D9" s="13"/>
      <c r="E9" s="13"/>
      <c r="F9" s="13"/>
      <c r="G9" s="13"/>
      <c r="H9" s="13"/>
      <c r="I9" s="13"/>
    </row>
    <row r="10" spans="1:9" x14ac:dyDescent="0.2">
      <c r="A10" s="14" t="s">
        <v>63</v>
      </c>
      <c r="B10" s="14"/>
      <c r="C10" s="14"/>
      <c r="D10" s="14"/>
      <c r="E10" s="14"/>
      <c r="F10" s="14"/>
      <c r="G10" s="14"/>
      <c r="H10" s="14"/>
      <c r="I10" s="14"/>
    </row>
  </sheetData>
  <mergeCells count="2">
    <mergeCell ref="A2:I2"/>
    <mergeCell ref="A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C74E-1ABD-BC45-8953-E462C83A87CA}">
  <dimension ref="A1:M45"/>
  <sheetViews>
    <sheetView zoomScale="125" workbookViewId="0">
      <selection activeCell="E6" sqref="E6"/>
    </sheetView>
  </sheetViews>
  <sheetFormatPr baseColWidth="10" defaultRowHeight="16" x14ac:dyDescent="0.2"/>
  <cols>
    <col min="1" max="1" width="14.1640625" bestFit="1" customWidth="1"/>
    <col min="2" max="2" width="22" bestFit="1" customWidth="1"/>
    <col min="3" max="3" width="22.6640625" bestFit="1" customWidth="1"/>
    <col min="4" max="4" width="22.33203125" bestFit="1" customWidth="1"/>
    <col min="5" max="6" width="23.1640625" bestFit="1" customWidth="1"/>
    <col min="7" max="7" width="22" bestFit="1" customWidth="1"/>
    <col min="8" max="8" width="23" bestFit="1" customWidth="1"/>
    <col min="9" max="9" width="23.1640625" bestFit="1" customWidth="1"/>
    <col min="10" max="10" width="22.6640625" bestFit="1" customWidth="1"/>
    <col min="11" max="11" width="23.1640625" bestFit="1" customWidth="1"/>
    <col min="12" max="12" width="22" bestFit="1" customWidth="1"/>
    <col min="13" max="13" width="23" bestFit="1" customWidth="1"/>
    <col min="14" max="14" width="23.1640625" bestFit="1" customWidth="1"/>
    <col min="15" max="15" width="22.6640625" bestFit="1" customWidth="1"/>
    <col min="16" max="16" width="23.1640625" bestFit="1" customWidth="1"/>
    <col min="17" max="17" width="22" bestFit="1" customWidth="1"/>
    <col min="18" max="18" width="23" bestFit="1" customWidth="1"/>
    <col min="19" max="19" width="23.1640625" bestFit="1" customWidth="1"/>
    <col min="20" max="20" width="22.6640625" bestFit="1" customWidth="1"/>
    <col min="21" max="21" width="23.1640625" bestFit="1" customWidth="1"/>
    <col min="22" max="22" width="22" bestFit="1" customWidth="1"/>
    <col min="23" max="23" width="23" bestFit="1" customWidth="1"/>
    <col min="24" max="24" width="23.1640625" bestFit="1" customWidth="1"/>
    <col min="25" max="25" width="22.6640625" bestFit="1" customWidth="1"/>
    <col min="26" max="26" width="23.1640625" bestFit="1" customWidth="1"/>
    <col min="27" max="27" width="22" bestFit="1" customWidth="1"/>
    <col min="28" max="28" width="23" bestFit="1" customWidth="1"/>
    <col min="29" max="29" width="23.1640625" bestFit="1" customWidth="1"/>
    <col min="30" max="30" width="22.6640625" bestFit="1" customWidth="1"/>
    <col min="31" max="31" width="23.1640625" bestFit="1" customWidth="1"/>
    <col min="32" max="32" width="22" bestFit="1" customWidth="1"/>
    <col min="33" max="33" width="23" bestFit="1" customWidth="1"/>
    <col min="34" max="34" width="23.1640625" bestFit="1" customWidth="1"/>
    <col min="35" max="35" width="22.6640625" bestFit="1" customWidth="1"/>
    <col min="36" max="36" width="23.1640625" bestFit="1" customWidth="1"/>
    <col min="37" max="37" width="22" bestFit="1" customWidth="1"/>
    <col min="38" max="38" width="23" bestFit="1" customWidth="1"/>
    <col min="39" max="39" width="23.1640625" bestFit="1" customWidth="1"/>
    <col min="40" max="40" width="22.6640625" bestFit="1" customWidth="1"/>
    <col min="41" max="41" width="23.1640625" bestFit="1" customWidth="1"/>
    <col min="42" max="42" width="22" bestFit="1" customWidth="1"/>
    <col min="43" max="43" width="23" bestFit="1" customWidth="1"/>
    <col min="44" max="44" width="23.1640625" bestFit="1" customWidth="1"/>
    <col min="45" max="45" width="22.6640625" bestFit="1" customWidth="1"/>
    <col min="46" max="46" width="23.1640625" bestFit="1" customWidth="1"/>
    <col min="47" max="47" width="22" bestFit="1" customWidth="1"/>
    <col min="48" max="48" width="23" bestFit="1" customWidth="1"/>
    <col min="49" max="49" width="23.1640625" bestFit="1" customWidth="1"/>
    <col min="50" max="50" width="22.6640625" bestFit="1" customWidth="1"/>
    <col min="51" max="51" width="23.1640625" bestFit="1" customWidth="1"/>
    <col min="52" max="52" width="26.83203125" bestFit="1" customWidth="1"/>
    <col min="53" max="53" width="27.6640625" bestFit="1" customWidth="1"/>
    <col min="54" max="54" width="28" bestFit="1" customWidth="1"/>
    <col min="55" max="55" width="27.33203125" bestFit="1" customWidth="1"/>
    <col min="56" max="56" width="28" bestFit="1" customWidth="1"/>
    <col min="57" max="105" width="23.1640625" bestFit="1" customWidth="1"/>
    <col min="106" max="106" width="31" bestFit="1" customWidth="1"/>
    <col min="107" max="107" width="31.83203125" bestFit="1" customWidth="1"/>
    <col min="108" max="108" width="32.1640625" bestFit="1" customWidth="1"/>
    <col min="109" max="109" width="31.5" bestFit="1" customWidth="1"/>
    <col min="110" max="110" width="32" bestFit="1" customWidth="1"/>
    <col min="111" max="160" width="23.1640625" bestFit="1" customWidth="1"/>
    <col min="161" max="161" width="31.6640625" bestFit="1" customWidth="1"/>
    <col min="162" max="162" width="32.5" bestFit="1" customWidth="1"/>
    <col min="163" max="163" width="32.83203125" bestFit="1" customWidth="1"/>
    <col min="164" max="164" width="32.1640625" bestFit="1" customWidth="1"/>
    <col min="165" max="165" width="32.6640625" bestFit="1" customWidth="1"/>
    <col min="166" max="166" width="26.83203125" bestFit="1" customWidth="1"/>
    <col min="167" max="167" width="27.6640625" bestFit="1" customWidth="1"/>
    <col min="168" max="168" width="28" bestFit="1" customWidth="1"/>
    <col min="169" max="169" width="27.33203125" bestFit="1" customWidth="1"/>
    <col min="170" max="170" width="28" bestFit="1" customWidth="1"/>
  </cols>
  <sheetData>
    <row r="1" spans="1:13" ht="21" x14ac:dyDescent="0.25">
      <c r="A1" s="4" t="s">
        <v>45</v>
      </c>
    </row>
    <row r="2" spans="1:13" x14ac:dyDescent="0.2">
      <c r="A2" s="11" t="s">
        <v>56</v>
      </c>
      <c r="B2" s="11"/>
      <c r="C2" s="11"/>
      <c r="D2" s="11"/>
      <c r="E2" s="11"/>
      <c r="F2" s="11"/>
      <c r="G2" s="11"/>
      <c r="H2" s="11"/>
      <c r="I2" s="11"/>
    </row>
    <row r="4" spans="1:13" ht="21" x14ac:dyDescent="0.25">
      <c r="A4" s="6" t="s">
        <v>47</v>
      </c>
      <c r="B4" s="3" t="s">
        <v>50</v>
      </c>
      <c r="C4" s="3" t="s">
        <v>51</v>
      </c>
      <c r="E4" s="4" t="s">
        <v>60</v>
      </c>
    </row>
    <row r="5" spans="1:13" x14ac:dyDescent="0.2">
      <c r="A5" s="7" t="s">
        <v>44</v>
      </c>
      <c r="B5" s="2">
        <v>388.11857278230633</v>
      </c>
      <c r="C5" s="2">
        <v>61.023145119562578</v>
      </c>
      <c r="E5" s="11" t="s">
        <v>62</v>
      </c>
      <c r="F5" s="11"/>
      <c r="G5" s="11"/>
      <c r="H5" s="11"/>
      <c r="I5" s="11"/>
      <c r="J5" s="11"/>
      <c r="K5" s="11"/>
      <c r="L5" s="11"/>
      <c r="M5" s="11"/>
    </row>
    <row r="6" spans="1:13" x14ac:dyDescent="0.2">
      <c r="A6" s="10" t="s">
        <v>19</v>
      </c>
      <c r="B6" s="2">
        <v>398.8248192449488</v>
      </c>
      <c r="C6" s="2">
        <v>57.545100567127363</v>
      </c>
    </row>
    <row r="7" spans="1:13" x14ac:dyDescent="0.2">
      <c r="A7" s="10" t="s">
        <v>12</v>
      </c>
      <c r="B7" s="2">
        <v>225.95102497662782</v>
      </c>
      <c r="C7" s="2">
        <v>65.654502500564433</v>
      </c>
    </row>
    <row r="8" spans="1:13" x14ac:dyDescent="0.2">
      <c r="A8" s="10" t="s">
        <v>25</v>
      </c>
      <c r="B8" s="2">
        <v>444.4205947344638</v>
      </c>
      <c r="C8" s="2">
        <v>61.953037809110015</v>
      </c>
    </row>
    <row r="9" spans="1:13" x14ac:dyDescent="0.2">
      <c r="A9" s="7" t="s">
        <v>37</v>
      </c>
      <c r="B9" s="2">
        <v>533.59967769869991</v>
      </c>
      <c r="C9" s="2">
        <v>38.916430852241035</v>
      </c>
    </row>
    <row r="10" spans="1:13" x14ac:dyDescent="0.2">
      <c r="A10" s="10" t="s">
        <v>19</v>
      </c>
      <c r="B10" s="2">
        <v>551.83808897558174</v>
      </c>
      <c r="C10" s="2">
        <v>35.433614937601355</v>
      </c>
    </row>
    <row r="11" spans="1:13" x14ac:dyDescent="0.2">
      <c r="A11" s="10" t="s">
        <v>12</v>
      </c>
      <c r="B11" s="2">
        <v>465.19039066382948</v>
      </c>
      <c r="C11" s="2">
        <v>41.954380906938439</v>
      </c>
    </row>
    <row r="12" spans="1:13" x14ac:dyDescent="0.2">
      <c r="A12" s="10" t="s">
        <v>25</v>
      </c>
      <c r="B12" s="2">
        <v>589.85002388231567</v>
      </c>
      <c r="C12" s="2">
        <v>38.200358073970101</v>
      </c>
    </row>
    <row r="13" spans="1:13" x14ac:dyDescent="0.2">
      <c r="A13" s="7" t="s">
        <v>42</v>
      </c>
      <c r="B13" s="2">
        <v>464.31696325257673</v>
      </c>
      <c r="C13" s="2">
        <v>56.326482898028573</v>
      </c>
    </row>
    <row r="14" spans="1:13" x14ac:dyDescent="0.2">
      <c r="A14" s="10" t="s">
        <v>19</v>
      </c>
      <c r="B14" s="2">
        <v>416.05590020159048</v>
      </c>
      <c r="C14" s="2">
        <v>50.1569349587175</v>
      </c>
    </row>
    <row r="15" spans="1:13" x14ac:dyDescent="0.2">
      <c r="A15" s="10" t="s">
        <v>12</v>
      </c>
      <c r="B15" s="2">
        <v>517.10489035249861</v>
      </c>
      <c r="C15" s="2">
        <v>65.857197179174122</v>
      </c>
    </row>
    <row r="16" spans="1:13" x14ac:dyDescent="0.2">
      <c r="A16" s="10" t="s">
        <v>25</v>
      </c>
      <c r="B16" s="2">
        <v>460.92181521587503</v>
      </c>
      <c r="C16" s="2">
        <v>53.805608141652719</v>
      </c>
    </row>
    <row r="17" spans="1:3" x14ac:dyDescent="0.2">
      <c r="A17" s="7" t="s">
        <v>23</v>
      </c>
      <c r="B17" s="2">
        <v>504.30726221209039</v>
      </c>
      <c r="C17" s="2">
        <v>55.125317265649159</v>
      </c>
    </row>
    <row r="18" spans="1:3" x14ac:dyDescent="0.2">
      <c r="A18" s="10" t="s">
        <v>19</v>
      </c>
      <c r="B18" s="2">
        <v>416.78764257117723</v>
      </c>
      <c r="C18" s="2">
        <v>72.131631387081057</v>
      </c>
    </row>
    <row r="19" spans="1:3" x14ac:dyDescent="0.2">
      <c r="A19" s="10" t="s">
        <v>12</v>
      </c>
      <c r="B19" s="2">
        <v>630.83412369983137</v>
      </c>
      <c r="C19" s="2">
        <v>47.755322582746082</v>
      </c>
    </row>
    <row r="20" spans="1:3" x14ac:dyDescent="0.2">
      <c r="A20" s="10" t="s">
        <v>25</v>
      </c>
      <c r="B20" s="2">
        <v>260.75867518386588</v>
      </c>
      <c r="C20" s="2">
        <v>33.586353632965789</v>
      </c>
    </row>
    <row r="21" spans="1:3" x14ac:dyDescent="0.2">
      <c r="A21" s="7" t="s">
        <v>39</v>
      </c>
      <c r="B21" s="2">
        <v>519.57888427388411</v>
      </c>
      <c r="C21" s="2">
        <v>51.874855038176904</v>
      </c>
    </row>
    <row r="22" spans="1:3" x14ac:dyDescent="0.2">
      <c r="A22" s="10" t="s">
        <v>19</v>
      </c>
      <c r="B22" s="2">
        <v>693.48130170082231</v>
      </c>
      <c r="C22" s="2">
        <v>61.824415646275796</v>
      </c>
    </row>
    <row r="23" spans="1:3" x14ac:dyDescent="0.2">
      <c r="A23" s="10" t="s">
        <v>12</v>
      </c>
      <c r="B23" s="2">
        <v>453.2700148212819</v>
      </c>
      <c r="C23" s="2">
        <v>25.485809522868418</v>
      </c>
    </row>
    <row r="24" spans="1:3" x14ac:dyDescent="0.2">
      <c r="A24" s="10" t="s">
        <v>25</v>
      </c>
      <c r="B24" s="2">
        <v>489.80323897467014</v>
      </c>
      <c r="C24" s="2">
        <v>63.728458104122453</v>
      </c>
    </row>
    <row r="25" spans="1:3" x14ac:dyDescent="0.2">
      <c r="A25" s="7" t="s">
        <v>31</v>
      </c>
      <c r="B25" s="2">
        <v>499.51584135081509</v>
      </c>
      <c r="C25" s="2">
        <v>46.758913720918429</v>
      </c>
    </row>
    <row r="26" spans="1:3" x14ac:dyDescent="0.2">
      <c r="A26" s="10" t="s">
        <v>19</v>
      </c>
      <c r="B26" s="2">
        <v>502.07591603760039</v>
      </c>
      <c r="C26" s="2">
        <v>50.495986525897351</v>
      </c>
    </row>
    <row r="27" spans="1:3" x14ac:dyDescent="0.2">
      <c r="A27" s="10" t="s">
        <v>12</v>
      </c>
      <c r="B27" s="2">
        <v>419.51659455214974</v>
      </c>
      <c r="C27" s="2">
        <v>40.908758654022492</v>
      </c>
    </row>
    <row r="28" spans="1:3" x14ac:dyDescent="0.2">
      <c r="A28" s="10" t="s">
        <v>25</v>
      </c>
      <c r="B28" s="2">
        <v>560.95516410296239</v>
      </c>
      <c r="C28" s="2">
        <v>47.701964969456249</v>
      </c>
    </row>
    <row r="29" spans="1:3" x14ac:dyDescent="0.2">
      <c r="A29" s="7" t="s">
        <v>35</v>
      </c>
      <c r="B29" s="2">
        <v>452.01634301383586</v>
      </c>
      <c r="C29" s="2">
        <v>48.238891556159423</v>
      </c>
    </row>
    <row r="30" spans="1:3" x14ac:dyDescent="0.2">
      <c r="A30" s="10" t="s">
        <v>19</v>
      </c>
      <c r="B30" s="2">
        <v>458.91666245196097</v>
      </c>
      <c r="C30" s="2">
        <v>39.450117773597661</v>
      </c>
    </row>
    <row r="31" spans="1:3" x14ac:dyDescent="0.2">
      <c r="A31" s="10" t="s">
        <v>12</v>
      </c>
      <c r="B31" s="2">
        <v>446.45764300651263</v>
      </c>
      <c r="C31" s="2">
        <v>52.953879301624568</v>
      </c>
    </row>
    <row r="32" spans="1:3" x14ac:dyDescent="0.2">
      <c r="A32" s="10" t="s">
        <v>25</v>
      </c>
      <c r="B32" s="2">
        <v>453.1984333008761</v>
      </c>
      <c r="C32" s="2">
        <v>48.70412199288603</v>
      </c>
    </row>
    <row r="33" spans="1:3" x14ac:dyDescent="0.2">
      <c r="A33" s="7" t="s">
        <v>41</v>
      </c>
      <c r="B33" s="2">
        <v>392.33052393026071</v>
      </c>
      <c r="C33" s="2">
        <v>51.027499670910309</v>
      </c>
    </row>
    <row r="34" spans="1:3" x14ac:dyDescent="0.2">
      <c r="A34" s="10" t="s">
        <v>19</v>
      </c>
      <c r="B34" s="2">
        <v>0</v>
      </c>
      <c r="C34" s="2">
        <v>55.533815986600381</v>
      </c>
    </row>
    <row r="35" spans="1:3" x14ac:dyDescent="0.2">
      <c r="A35" s="10" t="s">
        <v>12</v>
      </c>
      <c r="B35" s="2">
        <v>505.6303294902217</v>
      </c>
      <c r="C35" s="2">
        <v>58.473148136834787</v>
      </c>
    </row>
    <row r="36" spans="1:3" x14ac:dyDescent="0.2">
      <c r="A36" s="10" t="s">
        <v>25</v>
      </c>
      <c r="B36" s="2">
        <v>475.19598033543008</v>
      </c>
      <c r="C36" s="2">
        <v>41.328693047140803</v>
      </c>
    </row>
    <row r="37" spans="1:3" x14ac:dyDescent="0.2">
      <c r="A37" s="7" t="s">
        <v>27</v>
      </c>
      <c r="B37" s="2">
        <v>538.31243847657981</v>
      </c>
      <c r="C37" s="2">
        <v>46.810828770517304</v>
      </c>
    </row>
    <row r="38" spans="1:3" x14ac:dyDescent="0.2">
      <c r="A38" s="10" t="s">
        <v>19</v>
      </c>
      <c r="B38" s="2">
        <v>419.80344565731127</v>
      </c>
      <c r="C38" s="2">
        <v>40.267091636260005</v>
      </c>
    </row>
    <row r="39" spans="1:3" x14ac:dyDescent="0.2">
      <c r="A39" s="10" t="s">
        <v>12</v>
      </c>
      <c r="B39" s="2">
        <v>738.68040830701409</v>
      </c>
      <c r="C39" s="2">
        <v>60.034511524159292</v>
      </c>
    </row>
    <row r="40" spans="1:3" x14ac:dyDescent="0.2">
      <c r="A40" s="10" t="s">
        <v>25</v>
      </c>
      <c r="B40" s="2">
        <v>536.17270212783967</v>
      </c>
      <c r="C40" s="2">
        <v>45.072738123107413</v>
      </c>
    </row>
    <row r="41" spans="1:3" x14ac:dyDescent="0.2">
      <c r="A41" s="7" t="s">
        <v>17</v>
      </c>
      <c r="B41" s="2">
        <v>474.08098941304956</v>
      </c>
      <c r="C41" s="2">
        <v>49.021311999954236</v>
      </c>
    </row>
    <row r="42" spans="1:3" x14ac:dyDescent="0.2">
      <c r="A42" s="10" t="s">
        <v>19</v>
      </c>
      <c r="B42" s="2">
        <v>400.52122895831809</v>
      </c>
      <c r="C42" s="2">
        <v>50.674825345837462</v>
      </c>
    </row>
    <row r="43" spans="1:3" x14ac:dyDescent="0.2">
      <c r="A43" s="10" t="s">
        <v>12</v>
      </c>
      <c r="B43" s="2">
        <v>647.22592801335918</v>
      </c>
      <c r="C43" s="2">
        <v>42.411828665834165</v>
      </c>
    </row>
    <row r="44" spans="1:3" x14ac:dyDescent="0.2">
      <c r="A44" s="10" t="s">
        <v>25</v>
      </c>
      <c r="B44" s="2">
        <v>432.21079080090794</v>
      </c>
      <c r="C44" s="2">
        <v>51.774120876817726</v>
      </c>
    </row>
    <row r="45" spans="1:3" x14ac:dyDescent="0.2">
      <c r="A45" s="7" t="s">
        <v>48</v>
      </c>
      <c r="B45" s="2">
        <v>479.47018672936088</v>
      </c>
      <c r="C45" s="2">
        <v>50.446091740998469</v>
      </c>
    </row>
  </sheetData>
  <mergeCells count="2">
    <mergeCell ref="A2:I2"/>
    <mergeCell ref="E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7795-5F0D-9B49-9AEF-830365B0FF2A}">
  <dimension ref="A1:I13"/>
  <sheetViews>
    <sheetView zoomScale="150" workbookViewId="0">
      <selection activeCell="B15" sqref="B15"/>
    </sheetView>
  </sheetViews>
  <sheetFormatPr baseColWidth="10" defaultRowHeight="16" x14ac:dyDescent="0.2"/>
  <cols>
    <col min="1" max="1" width="13" bestFit="1" customWidth="1"/>
    <col min="2" max="2" width="24.33203125" bestFit="1" customWidth="1"/>
    <col min="3" max="3" width="19.6640625" bestFit="1" customWidth="1"/>
  </cols>
  <sheetData>
    <row r="1" spans="1:9" ht="21" x14ac:dyDescent="0.25">
      <c r="A1" s="4" t="s">
        <v>45</v>
      </c>
    </row>
    <row r="2" spans="1:9" x14ac:dyDescent="0.2">
      <c r="A2" s="11" t="s">
        <v>58</v>
      </c>
      <c r="B2" s="11"/>
      <c r="C2" s="11"/>
      <c r="D2" s="11"/>
      <c r="E2" s="11"/>
      <c r="F2" s="11"/>
      <c r="G2" s="11"/>
      <c r="H2" s="11"/>
      <c r="I2" s="11"/>
    </row>
    <row r="4" spans="1:9" x14ac:dyDescent="0.2">
      <c r="A4" s="6" t="s">
        <v>47</v>
      </c>
      <c r="B4" t="s">
        <v>59</v>
      </c>
      <c r="C4" t="s">
        <v>49</v>
      </c>
    </row>
    <row r="5" spans="1:9" x14ac:dyDescent="0.2">
      <c r="A5" s="7" t="s">
        <v>20</v>
      </c>
      <c r="B5" s="2">
        <v>24</v>
      </c>
      <c r="C5" s="5">
        <v>1101.9157964629278</v>
      </c>
    </row>
    <row r="6" spans="1:9" x14ac:dyDescent="0.2">
      <c r="A6" s="7" t="s">
        <v>32</v>
      </c>
      <c r="B6" s="2">
        <v>26</v>
      </c>
      <c r="C6" s="5">
        <v>1365.0172182569627</v>
      </c>
    </row>
    <row r="7" spans="1:9" x14ac:dyDescent="0.2">
      <c r="A7" s="7" t="s">
        <v>13</v>
      </c>
      <c r="B7" s="2">
        <v>23</v>
      </c>
      <c r="C7" s="5">
        <v>1058.9703779440172</v>
      </c>
    </row>
    <row r="8" spans="1:9" x14ac:dyDescent="0.2">
      <c r="A8" s="7" t="s">
        <v>40</v>
      </c>
      <c r="B8" s="2">
        <v>27</v>
      </c>
      <c r="C8" s="5">
        <v>1518.7057814359409</v>
      </c>
    </row>
    <row r="9" spans="1:9" x14ac:dyDescent="0.2">
      <c r="A9" s="7" t="s">
        <v>48</v>
      </c>
      <c r="B9" s="2">
        <v>100</v>
      </c>
      <c r="C9" s="5">
        <v>5044.609174099849</v>
      </c>
    </row>
    <row r="12" spans="1:9" ht="21" x14ac:dyDescent="0.25">
      <c r="A12" s="4" t="s">
        <v>60</v>
      </c>
    </row>
    <row r="13" spans="1:9" x14ac:dyDescent="0.2">
      <c r="A13" s="11" t="s">
        <v>61</v>
      </c>
      <c r="B13" s="11"/>
      <c r="C13" s="11"/>
      <c r="D13" s="11"/>
      <c r="E13" s="11"/>
      <c r="F13" s="11"/>
      <c r="G13" s="11"/>
      <c r="H13" s="11"/>
      <c r="I13" s="11"/>
    </row>
  </sheetData>
  <mergeCells count="2">
    <mergeCell ref="A2:I2"/>
    <mergeCell ref="A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PVT Analysis 1</vt:lpstr>
      <vt:lpstr>PVT Analysis 2</vt:lpstr>
      <vt:lpstr>PVT Analysis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2024-02-28T12:51:25Z</dcterms:created>
  <dcterms:modified xsi:type="dcterms:W3CDTF">2024-02-28T16:16:11Z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